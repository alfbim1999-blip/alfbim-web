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EDIM" sheetId="2" state="visible" r:id="rId2"/>
    <sheet xmlns:r="http://schemas.openxmlformats.org/officeDocument/2006/relationships" name="VIGA" sheetId="3" state="visible" r:id="rId3"/>
    <sheet xmlns:r="http://schemas.openxmlformats.org/officeDocument/2006/relationships" name="COLUMNA" sheetId="4" state="visible" r:id="rId4"/>
    <sheet xmlns:r="http://schemas.openxmlformats.org/officeDocument/2006/relationships" name="PLACA" sheetId="5" state="visible" r:id="rId5"/>
    <sheet xmlns:r="http://schemas.openxmlformats.org/officeDocument/2006/relationships" name="LOSA_MACIZA" sheetId="6" state="visible" r:id="rId6"/>
    <sheet xmlns:r="http://schemas.openxmlformats.org/officeDocument/2006/relationships" name="ALIGERADO" sheetId="7" state="visible" r:id="rId7"/>
    <sheet xmlns:r="http://schemas.openxmlformats.org/officeDocument/2006/relationships" name="ESCALERA" sheetId="8" state="visible" r:id="rId8"/>
    <sheet xmlns:r="http://schemas.openxmlformats.org/officeDocument/2006/relationships" name="ZAPATA" sheetId="9" state="visible" r:id="rId9"/>
    <sheet xmlns:r="http://schemas.openxmlformats.org/officeDocument/2006/relationships" name="ZAP_CONECTADA" sheetId="10" state="visible" r:id="rId10"/>
    <sheet xmlns:r="http://schemas.openxmlformats.org/officeDocument/2006/relationships" name="ZAP_COMBINADA" sheetId="11" state="visible" r:id="rId11"/>
    <sheet xmlns:r="http://schemas.openxmlformats.org/officeDocument/2006/relationships" name="CIMIENTO" sheetId="12" state="visible" r:id="rId12"/>
    <sheet xmlns:r="http://schemas.openxmlformats.org/officeDocument/2006/relationships" name="MURO" sheetId="13" state="visible" r:id="rId13"/>
    <sheet xmlns:r="http://schemas.openxmlformats.org/officeDocument/2006/relationships" name="ANCLAJES" sheetId="14" state="visible" r:id="rId14"/>
    <sheet xmlns:r="http://schemas.openxmlformats.org/officeDocument/2006/relationships" name="TABLAS" sheetId="15" state="visible" r:id="rId15"/>
  </sheets>
  <definedNames>
    <definedName name="BAR_NOM">TABLAS!$B$5:$B$13</definedName>
    <definedName name="BAR_DB">TABLAS!$C$5:$C$13</definedName>
    <definedName name="BAR_AS">TABLAS!$D$5:$D$13</definedName>
    <definedName name="COMB_NOM">TABLAS!$B$17:$B$25</definedName>
    <definedName name="COMB_AS">TABLAS!$C$17:$C$25</definedName>
    <definedName name="ALIG_H">TABLAS!$B$29:$B$32</definedName>
    <definedName name="ALIG_PP">TABLAS!$C$29:$C$32</definedName>
    <definedName name="USO_NOM">TABLAS!$G$5:$G$24</definedName>
    <definedName name="USO_SC">TABLAS!$H$5:$H$24</definedName>
    <definedName name="LNEG">TABLAS!$B$42:$T$52</definedName>
    <definedName name="LPCM">TABLAS!$B$56:$T$66</definedName>
    <definedName name="LPCV">TABLAS!$B$70:$T$80</definedName>
    <definedName name="CASOS">TABLAS!$B$83:$B$91</definedName>
    <definedName name="_xlnm.Print_Area" localSheetId="0">'INICIO'!$A$1:$E$55</definedName>
    <definedName name="_xlnm.Print_Area" localSheetId="1">'PREDIM'!$A$1:$F$57</definedName>
    <definedName name="_xlnm.Print_Area" localSheetId="2">'VIGA'!$A$1:$H$103</definedName>
    <definedName name="_xlnm.Print_Area" localSheetId="3">'COLUMNA'!$A$1:$H$180</definedName>
    <definedName name="_xlnm.Print_Area" localSheetId="4">'PLACA'!$A$1:$F$120</definedName>
    <definedName name="_xlnm.Print_Area" localSheetId="5">'LOSA_MACIZA'!$A$1:$F$95</definedName>
    <definedName name="_xlnm.Print_Area" localSheetId="6">'ALIGERADO'!$A$1:$H$116</definedName>
    <definedName name="_xlnm.Print_Area" localSheetId="7">'ESCALERA'!$A$1:$F$114</definedName>
    <definedName name="_xlnm.Print_Area" localSheetId="8">'ZAPATA'!$A$1:$F$198</definedName>
    <definedName name="_xlnm.Print_Area" localSheetId="9">'ZAP_CONECTADA'!$A$1:$F$106</definedName>
    <definedName name="_xlnm.Print_Area" localSheetId="10">'ZAP_COMBINADA'!$A$1:$F$154</definedName>
    <definedName name="_xlnm.Print_Area" localSheetId="11">'CIMIENTO'!$A$1:$F$44</definedName>
    <definedName name="_xlnm.Print_Area" localSheetId="12">'MURO'!$A$1:$F$214</definedName>
    <definedName name="_xlnm.Print_Area" localSheetId="13">'ANCLAJES'!$A$1:$I$28</definedName>
    <definedName name="_xlnm.Print_Area" localSheetId="14">'TABLAS'!$A$1:$T$93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.0"/>
    <numFmt numFmtId="167" formatCode="0.000"/>
    <numFmt numFmtId="168" formatCode="0.00000"/>
    <numFmt numFmtId="169" formatCode="0.0000"/>
  </numFmts>
  <fonts count="17">
    <font>
      <name val="Times New Roman"/>
      <sz val="10"/>
    </font>
    <font>
      <name val="Times New Roman"/>
      <b val="1"/>
      <color rgb="000A2457"/>
      <sz val="12"/>
    </font>
    <font>
      <name val="Times New Roman"/>
      <i val="1"/>
      <color rgb="00566070"/>
      <sz val="8"/>
    </font>
    <font>
      <name val="Times New Roman"/>
      <b val="1"/>
      <color rgb="00FFFFFF"/>
      <sz val="9.5"/>
    </font>
    <font>
      <name val="Times New Roman"/>
      <color rgb="000E1116"/>
      <sz val="9"/>
    </font>
    <font>
      <name val="Times New Roman"/>
      <b val="1"/>
      <color rgb="00FFFFFF"/>
      <sz val="18"/>
    </font>
    <font>
      <name val="Times New Roman"/>
      <color rgb="00FFFFFF"/>
      <sz val="9"/>
    </font>
    <font>
      <name val="Times New Roman"/>
      <b val="1"/>
      <color rgb="000A2457"/>
      <sz val="9"/>
    </font>
    <font>
      <name val="Times New Roman"/>
      <b val="1"/>
      <color rgb="000E1116"/>
      <sz val="9"/>
    </font>
    <font>
      <name val="Times New Roman"/>
      <b val="1"/>
      <color rgb="000000FF"/>
      <sz val="9"/>
    </font>
    <font>
      <name val="Times New Roman"/>
      <b val="1"/>
      <color rgb="002F7DF6"/>
      <sz val="9"/>
      <u val="single"/>
    </font>
    <font>
      <name val="Times New Roman"/>
      <i val="1"/>
      <color rgb="009A5B00"/>
      <sz val="8"/>
    </font>
    <font>
      <name val="Times New Roman"/>
      <b val="1"/>
      <color rgb="00FFFFFF"/>
      <sz val="12"/>
    </font>
    <font>
      <name val="Times New Roman"/>
      <color rgb="00FFFFFF"/>
      <sz val="8"/>
    </font>
    <font>
      <name val="Times New Roman"/>
      <i val="1"/>
      <color rgb="000E1116"/>
      <sz val="9"/>
    </font>
    <font>
      <name val="Times New Roman"/>
      <color rgb="009AA5B5"/>
      <sz val="7"/>
    </font>
    <font>
      <name val="Times New Roman"/>
      <b val="1"/>
      <color rgb="000A2457"/>
      <sz val="10"/>
    </font>
  </fonts>
  <fills count="7">
    <fill>
      <patternFill/>
    </fill>
    <fill>
      <patternFill patternType="gray125"/>
    </fill>
    <fill>
      <patternFill patternType="solid">
        <fgColor rgb="000A2457"/>
      </patternFill>
    </fill>
    <fill>
      <patternFill patternType="solid">
        <fgColor rgb="002F7DF6"/>
      </patternFill>
    </fill>
    <fill>
      <patternFill patternType="solid">
        <fgColor rgb="00FFF4C2"/>
      </patternFill>
    </fill>
    <fill>
      <patternFill patternType="solid">
        <fgColor rgb="00EEF1F5"/>
      </patternFill>
    </fill>
    <fill>
      <patternFill patternType="solid">
        <fgColor rgb="00FFF1D6"/>
      </patternFill>
    </fill>
  </fills>
  <borders count="7">
    <border>
      <left/>
      <right/>
      <top/>
      <bottom/>
      <diagonal/>
    </border>
    <border>
      <left style="thin">
        <color rgb="00D5DBE4"/>
      </left>
      <right style="thin">
        <color rgb="00D5DBE4"/>
      </right>
      <top style="thin">
        <color rgb="00D5DBE4"/>
      </top>
      <bottom style="thin">
        <color rgb="00D5DBE4"/>
      </bottom>
    </border>
    <border>
      <bottom style="thin">
        <color rgb="00D5DBE4"/>
      </bottom>
    </border>
    <border>
      <left/>
      <right/>
      <top style="thin">
        <color rgb="00D5DBE4"/>
      </top>
      <bottom/>
      <diagonal/>
    </border>
    <border>
      <left/>
      <right style="thin">
        <color rgb="00D5DBE4"/>
      </right>
      <top style="thin">
        <color rgb="00D5DBE4"/>
      </top>
      <bottom/>
      <diagonal/>
    </border>
    <border>
      <left/>
      <right/>
      <top style="thin">
        <color rgb="00D5DBE4"/>
      </top>
      <bottom style="thin">
        <color rgb="00D5DBE4"/>
      </bottom>
      <diagonal/>
    </border>
    <border>
      <left/>
      <right style="thin">
        <color rgb="00D5DBE4"/>
      </right>
      <top style="thin">
        <color rgb="00D5DBE4"/>
      </top>
      <bottom style="thin">
        <color rgb="00D5DBE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applyProtection="1" pivotButton="0" quotePrefix="0" xfId="0">
      <alignment horizontal="left" vertical="center"/>
      <protection locked="0" hidden="0"/>
    </xf>
    <xf numFmtId="165" fontId="9" fillId="4" borderId="1" applyAlignment="1" applyProtection="1" pivotButton="0" quotePrefix="0" xfId="0">
      <alignment horizontal="left" vertical="center"/>
      <protection locked="0" hidden="0"/>
    </xf>
    <xf numFmtId="0" fontId="1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4" borderId="0" pivotButton="0" quotePrefix="0" xfId="0"/>
    <xf numFmtId="0" fontId="8" fillId="5" borderId="0" pivotButton="0" quotePrefix="0" xfId="0"/>
    <xf numFmtId="0" fontId="4" fillId="0" borderId="0" pivotButton="0" quotePrefix="0" xfId="0"/>
    <xf numFmtId="0" fontId="11" fillId="6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wrapText="1"/>
    </xf>
    <xf numFmtId="0" fontId="8" fillId="0" borderId="2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4" borderId="2" applyAlignment="1" applyProtection="1" pivotButton="0" quotePrefix="0" xfId="0">
      <alignment horizontal="left" vertical="center" wrapText="1"/>
      <protection locked="0" hidden="0"/>
    </xf>
    <xf numFmtId="165" fontId="4" fillId="0" borderId="2" applyAlignment="1" pivotButton="0" quotePrefix="0" xfId="0">
      <alignment horizontal="left"/>
    </xf>
    <xf numFmtId="0" fontId="3" fillId="2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 wrapText="1"/>
    </xf>
    <xf numFmtId="1" fontId="9" fillId="4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2" fontId="9" fillId="4" borderId="1" applyAlignment="1" applyProtection="1" pivotButton="0" quotePrefix="0" xfId="0">
      <alignment horizontal="center" vertical="center" wrapText="1"/>
      <protection locked="0" hidden="0"/>
    </xf>
    <xf numFmtId="166" fontId="8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9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2" fontId="8" fillId="5" borderId="1" applyAlignment="1" pivotButton="0" quotePrefix="0" xfId="0">
      <alignment horizontal="center" vertical="center" wrapText="1"/>
    </xf>
    <xf numFmtId="166" fontId="9" fillId="4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8" fillId="5" borderId="1" applyAlignment="1" pivotButton="0" quotePrefix="0" xfId="0">
      <alignment horizontal="center" vertical="center" wrapText="1"/>
    </xf>
    <xf numFmtId="168" fontId="8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indent="1"/>
    </xf>
    <xf numFmtId="0" fontId="15" fillId="0" borderId="0" pivotButton="0" quotePrefix="0" xfId="0"/>
    <xf numFmtId="167" fontId="15" fillId="0" borderId="0" pivotButton="0" quotePrefix="0" xfId="0"/>
    <xf numFmtId="0" fontId="9" fillId="4" borderId="1" applyAlignment="1" applyProtection="1" pivotButton="0" quotePrefix="0" xfId="0">
      <alignment horizontal="left" vertical="center" wrapText="1"/>
      <protection locked="0" hidden="0"/>
    </xf>
    <xf numFmtId="10" fontId="8" fillId="5" borderId="1" applyAlignment="1" pivotButton="0" quotePrefix="0" xfId="0">
      <alignment horizontal="center" vertical="center" wrapText="1"/>
    </xf>
    <xf numFmtId="169" fontId="8" fillId="5" borderId="1" applyAlignment="1" pivotButton="0" quotePrefix="0" xfId="0">
      <alignment horizontal="center" vertical="center" wrapText="1"/>
    </xf>
    <xf numFmtId="0" fontId="3" fillId="2" borderId="1" pivotButton="0" quotePrefix="0" xfId="0"/>
    <xf numFmtId="169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167" fontId="9" fillId="4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2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Times New Roman"/>
        <b val="1"/>
        <color rgb="00B42318"/>
      </font>
      <fill>
        <patternFill patternType="solid">
          <fgColor rgb="00FDE2E1"/>
        </patternFill>
      </fill>
    </dxf>
    <dxf>
      <font>
        <name val="Times New Roman"/>
        <b val="1"/>
        <color rgb="009A5B00"/>
      </font>
      <fill>
        <patternFill patternType="solid">
          <fgColor rgb="00FFF1D6"/>
        </patternFill>
      </fill>
    </dxf>
    <dxf>
      <font>
        <name val="Times New Roman"/>
        <b val="1"/>
        <color rgb="001E8A5A"/>
      </font>
      <fill>
        <patternFill patternType="solid">
          <fgColor rgb="00DD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'COLUMNA'!$AQ$9:$AQ$48</f>
            </numRef>
          </xVal>
          <yVal>
            <numRef>
              <f>'COLUMNA'!$AP$9:$AP$48</f>
            </numRef>
          </yVal>
          <smooth val="0"/>
        </ser>
        <ser>
          <idx val="1"/>
          <order val="1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42318"/>
              </a:solidFill>
              <a:ln xmlns:a="http://schemas.openxmlformats.org/drawingml/2006/main">
                <a:solidFill>
                  <a:srgbClr val="B42318"/>
                </a:solidFill>
                <a:prstDash val="solid"/>
              </a:ln>
            </spPr>
          </marker>
          <xVal>
            <numRef>
              <f>'COLUMNA'!$BE$40:$BE$48</f>
            </numRef>
          </xVal>
          <yVal>
            <numRef>
              <f>'COLUMNA'!$C$40:$C$48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Flexión en X · φMn (t·m)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φPn (t)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'COLUMNA'!$BA$9:$BA$48</f>
            </numRef>
          </xVal>
          <yVal>
            <numRef>
              <f>'COLUMNA'!$AZ$9:$AZ$48</f>
            </numRef>
          </yVal>
          <smooth val="0"/>
        </ser>
        <ser>
          <idx val="1"/>
          <order val="1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42318"/>
              </a:solidFill>
              <a:ln xmlns:a="http://schemas.openxmlformats.org/drawingml/2006/main">
                <a:solidFill>
                  <a:srgbClr val="B42318"/>
                </a:solidFill>
                <a:prstDash val="solid"/>
              </a:ln>
            </spPr>
          </marker>
          <xVal>
            <numRef>
              <f>'COLUMNA'!$BF$40:$BF$48</f>
            </numRef>
          </xVal>
          <yVal>
            <numRef>
              <f>'COLUMNA'!$C$40:$C$48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Flexión en Y · φMn (t·m)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φPn (t)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'PLACA'!$AN$9:$AN$48</f>
            </numRef>
          </xVal>
          <yVal>
            <numRef>
              <f>'PLACA'!$AM$9:$AM$48</f>
            </numRef>
          </yVal>
          <smooth val="0"/>
        </ser>
        <ser>
          <idx val="1"/>
          <order val="1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B42318"/>
              </a:solidFill>
              <a:ln xmlns:a="http://schemas.openxmlformats.org/drawingml/2006/main">
                <a:solidFill>
                  <a:srgbClr val="B42318"/>
                </a:solidFill>
                <a:prstDash val="solid"/>
              </a:ln>
            </spPr>
          </marker>
          <xVal>
            <numRef>
              <f>'PLACA'!$BB$8</f>
            </numRef>
          </xVal>
          <yVal>
            <numRef>
              <f>'PLACA'!$BC$8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Muro · φMn (t·m)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1">
                    <a:latin typeface="Times New Roman"/>
                  </a:defRPr>
                </a:pPr>
                <a:r>
                  <a:rPr sz="900" b="1">
                    <a:latin typeface="Times New Roman"/>
                  </a:rPr>
                  <a:t>φPn (t)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'ESCALERA'!$H$6:$H$57</f>
            </numRef>
          </xVal>
          <yVal>
            <numRef>
              <f>'ESCALERA'!$I$6:$I$57</f>
            </numRef>
          </yVal>
          <smooth val="0"/>
        </ser>
        <ser>
          <idx val="1"/>
          <order val="1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'ESCALERA'!$H$59:$H$63</f>
            </numRef>
          </xVal>
          <yVal>
            <numRef>
              <f>'ESCALERA'!$I$59:$I$63</f>
            </numRef>
          </yVal>
          <smooth val="0"/>
        </ser>
        <ser>
          <idx val="2"/>
          <order val="2"/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'ESCALERA'!$H$65:$H$66</f>
            </numRef>
          </xVal>
          <yVal>
            <numRef>
              <f>'ESCALERA'!$I$65:$I$66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5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8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'ZAPATA'!$H$7:$H$11</f>
            </numRef>
          </xVal>
          <yVal>
            <numRef>
              <f>'ZAPATA'!$I$7:$I$11</f>
            </numRef>
          </yVal>
          <smooth val="0"/>
        </ser>
        <ser>
          <idx val="1"/>
          <order val="1"/>
          <spPr>
            <a:ln xmlns:a="http://schemas.openxmlformats.org/drawingml/2006/main" w="28000">
              <a:solidFill>
                <a:srgbClr val="B4231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'ZAPATA'!$H$13:$H$17</f>
            </numRef>
          </xVal>
          <yVal>
            <numRef>
              <f>'ZAPATA'!$I$13:$I$17</f>
            </numRef>
          </yVal>
          <smooth val="0"/>
        </ser>
        <ser>
          <idx val="2"/>
          <order val="2"/>
          <spPr>
            <a:ln xmlns:a="http://schemas.openxmlformats.org/drawingml/2006/main" w="15000">
              <a:solidFill>
                <a:srgbClr val="2F7DF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'ZAPATA'!$H$19:$H$23</f>
            </numRef>
          </xVal>
          <yVal>
            <numRef>
              <f>'ZAPATA'!$I$19:$I$23</f>
            </numRef>
          </yVal>
          <smooth val="0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'ZAPATA'!$H$25:$H$26</f>
            </numRef>
          </xVal>
          <yVal>
            <numRef>
              <f>'ZAPATA'!$I$25:$I$26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6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'ZAP_CONECTADA'!$H$7:$H$11</f>
            </numRef>
          </xVal>
          <yVal>
            <numRef>
              <f>'ZAP_CONECTADA'!$I$7:$I$11</f>
            </numRef>
          </yVal>
          <smooth val="0"/>
        </ser>
        <ser>
          <idx val="1"/>
          <order val="1"/>
          <spPr>
            <a:ln xmlns:a="http://schemas.openxmlformats.org/drawingml/2006/main" w="22000">
              <a:solidFill>
                <a:srgbClr val="B4231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'ZAP_CONECTADA'!$H$13:$H$17</f>
            </numRef>
          </xVal>
          <yVal>
            <numRef>
              <f>'ZAP_CONECTADA'!$I$13:$I$17</f>
            </numRef>
          </yVal>
          <smooth val="0"/>
        </ser>
        <ser>
          <idx val="2"/>
          <order val="2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'ZAP_CONECTADA'!$H$19:$H$23</f>
            </numRef>
          </xVal>
          <yVal>
            <numRef>
              <f>'ZAP_CONECTADA'!$I$19:$I$23</f>
            </numRef>
          </yVal>
          <smooth val="0"/>
        </ser>
        <ser>
          <idx val="3"/>
          <order val="3"/>
          <spPr>
            <a:ln xmlns:a="http://schemas.openxmlformats.org/drawingml/2006/main" w="22000">
              <a:solidFill>
                <a:srgbClr val="2F7D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'ZAP_CONECTADA'!$H$25:$H$29</f>
            </numRef>
          </xVal>
          <yVal>
            <numRef>
              <f>'ZAP_CONECTADA'!$I$25:$I$29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7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2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'ZAP_COMBINADA'!$H$7:$H$11</f>
            </numRef>
          </xVal>
          <yVal>
            <numRef>
              <f>'ZAP_COMBINADA'!$I$7:$I$11</f>
            </numRef>
          </yVal>
          <smooth val="0"/>
        </ser>
        <ser>
          <idx val="1"/>
          <order val="1"/>
          <spPr>
            <a:ln xmlns:a="http://schemas.openxmlformats.org/drawingml/2006/main" w="22000">
              <a:solidFill>
                <a:srgbClr val="B4231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'ZAP_COMBINADA'!$H$13:$H$17</f>
            </numRef>
          </xVal>
          <yVal>
            <numRef>
              <f>'ZAP_COMBINADA'!$I$13:$I$17</f>
            </numRef>
          </yVal>
          <smooth val="0"/>
        </ser>
        <ser>
          <idx val="2"/>
          <order val="2"/>
          <spPr>
            <a:ln xmlns:a="http://schemas.openxmlformats.org/drawingml/2006/main" w="22000">
              <a:solidFill>
                <a:srgbClr val="B4231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'ZAP_COMBINADA'!$H$19:$H$23</f>
            </numRef>
          </xVal>
          <yVal>
            <numRef>
              <f>'ZAP_COMBINADA'!$I$19:$I$23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charts/chart8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28000">
              <a:solidFill>
                <a:srgbClr val="0A24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'MURO'!$P$6:$P$18</f>
            </numRef>
          </xVal>
          <yVal>
            <numRef>
              <f>'MURO'!$Q$6:$Q$18</f>
            </numRef>
          </yVal>
          <smooth val="0"/>
        </ser>
        <ser>
          <idx val="1"/>
          <order val="1"/>
          <spPr>
            <a:ln xmlns:a="http://schemas.openxmlformats.org/drawingml/2006/main" w="22000">
              <a:solidFill>
                <a:srgbClr val="8B5A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'MURO'!$P$20:$P$21</f>
            </numRef>
          </xVal>
          <yVal>
            <numRef>
              <f>'MURO'!$Q$20:$Q$21</f>
            </numRef>
          </yVal>
          <smooth val="0"/>
        </ser>
        <ser>
          <idx val="2"/>
          <order val="2"/>
          <spPr>
            <a:ln xmlns:a="http://schemas.openxmlformats.org/drawingml/2006/main" w="22000">
              <a:solidFill>
                <a:srgbClr val="8B5A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'MURO'!$P$23:$P$24</f>
            </numRef>
          </xVal>
          <yVal>
            <numRef>
              <f>'MURO'!$Q$23:$Q$24</f>
            </numRef>
          </yVal>
          <smooth val="0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'MURO'!$P$26:$P$27</f>
            </numRef>
          </xVal>
          <yVal>
            <numRef>
              <f>'MURO'!$Q$26:$Q$27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 b="0">
                <a:latin typeface="Times New Roman"/>
              </a:defRPr>
            </a:pPr>
            <a:r>
              <a:t/>
            </a:r>
            <a:endParaRPr sz="800" b="0">
              <a:latin typeface="Times New Roman"/>
            </a:endParaRPr>
          </a:p>
        </txPr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141</row>
      <rowOff>0</rowOff>
    </from>
    <ext cx="46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160</row>
      <rowOff>0</rowOff>
    </from>
    <ext cx="46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100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97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177</row>
      <rowOff>0</rowOff>
    </from>
    <ext cx="43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88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138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191</row>
      <rowOff>0</rowOff>
    </from>
    <ext cx="43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0A2457"/>
    <outlinePr summaryBelow="1" summaryRight="1"/>
    <pageSetUpPr fitToPage="1"/>
  </sheetPr>
  <dimension ref="B2:D5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7" customWidth="1" min="2" max="2"/>
    <col width="2" customWidth="1" min="3" max="3"/>
    <col width="72" customWidth="1" min="4" max="4"/>
    <col width="3" customWidth="1" min="5" max="5"/>
  </cols>
  <sheetData>
    <row r="2" ht="36" customHeight="1">
      <c r="B2" s="1" t="inlineStr">
        <is>
          <t>PLANTILLA EXCEL ESTRUCTURAS ALF</t>
        </is>
      </c>
    </row>
    <row r="3" ht="18" customHeight="1">
      <c r="B3" s="2" t="inlineStr">
        <is>
          <t>NTE E.060 · Vigas · Columnas · Placas · Losas · Escaleras · Cimentaciones · Muros · v2.1.0</t>
        </is>
      </c>
    </row>
    <row r="4">
      <c r="B4" s="3" t="inlineStr">
        <is>
          <t>ALF_BIM · www.alfbim.com · Herramienta gratuita</t>
        </is>
      </c>
    </row>
    <row r="6">
      <c r="B6" s="4" t="inlineStr">
        <is>
          <t>DATOS DEL PROYECTO (aparecen en el encabezado de cada reporte)</t>
        </is>
      </c>
    </row>
    <row r="7">
      <c r="B7" s="5" t="inlineStr">
        <is>
          <t>Proyecto</t>
        </is>
      </c>
      <c r="D7" s="6" t="inlineStr">
        <is>
          <t>VIVIENDA MULTIFAMILIAR DE 4 NIVELES (EJEMPLO)</t>
        </is>
      </c>
    </row>
    <row r="8">
      <c r="B8" s="5" t="inlineStr">
        <is>
          <t>Propietario</t>
        </is>
      </c>
      <c r="D8" s="6" t="inlineStr">
        <is>
          <t>—</t>
        </is>
      </c>
    </row>
    <row r="9">
      <c r="B9" s="5" t="inlineStr">
        <is>
          <t>Ubicación</t>
        </is>
      </c>
      <c r="D9" s="6" t="inlineStr">
        <is>
          <t>Chota, Cajamarca</t>
        </is>
      </c>
    </row>
    <row r="10">
      <c r="B10" s="5" t="inlineStr">
        <is>
          <t>Calculista</t>
        </is>
      </c>
      <c r="D10" s="6" t="inlineStr">
        <is>
          <t xml:space="preserve">Ing. </t>
        </is>
      </c>
    </row>
    <row r="11">
      <c r="B11" s="5" t="inlineStr">
        <is>
          <t>CIP</t>
        </is>
      </c>
      <c r="D11" s="6" t="inlineStr"/>
    </row>
    <row r="12">
      <c r="B12" s="5" t="inlineStr">
        <is>
          <t>Fecha</t>
        </is>
      </c>
      <c r="D12" s="7" t="n">
        <v>46310</v>
      </c>
    </row>
    <row r="14">
      <c r="B14" s="4" t="inlineStr">
        <is>
          <t>HOJAS DE CÁLCULO</t>
        </is>
      </c>
    </row>
    <row r="15" ht="24" customHeight="1">
      <c r="B15" s="8">
        <f>HYPERLINK("#'PREDIM'!A1","→ PREDIM")</f>
        <v/>
      </c>
      <c r="D15" s="9" t="inlineStr">
        <is>
          <t>Predimensionamiento: aligerados, losas macizas, vigas, columnas por área tributaria y longitud de placas.</t>
        </is>
      </c>
    </row>
    <row r="16" ht="24" customHeight="1">
      <c r="B16" s="8">
        <f>HYPERLINK("#'VIGA'!A1","→ VIGA")</f>
        <v/>
      </c>
      <c r="D16" s="9" t="inlineStr">
        <is>
          <t>Viga sísmica: 6 secciones, doble armadura, reglas del cap. 21, cortante por capacidad, confinamiento y anclajes.</t>
        </is>
      </c>
    </row>
    <row r="17" ht="36" customHeight="1">
      <c r="B17" s="8">
        <f>HYPERLINK("#'COLUMNA'!A1","→ COLUMNA")</f>
        <v/>
      </c>
      <c r="D17" s="9" t="inlineStr">
        <is>
          <t>Columna: diagramas de interacción X e Y, 9 combinaciones, biaxial (Bresler), esbeltez con amplificación de momentos, columna fuerte–viga débil, cortante por capacidad, Ash y confinamiento.</t>
        </is>
      </c>
    </row>
    <row r="18" ht="24" customHeight="1">
      <c r="B18" s="8">
        <f>HYPERLINK("#'PLACA'!A1","→ PLACA")</f>
        <v/>
      </c>
      <c r="D18" s="9" t="inlineStr">
        <is>
          <t>Muro estructural: flexocompresión, cortante amplificado Mn/Mua, cuantías ρh y ρv, elementos de borde (21.9).</t>
        </is>
      </c>
    </row>
    <row r="19" ht="24" customHeight="1">
      <c r="B19" s="8">
        <f>HYPERLINK("#'LOSA_MACIZA'!A1","→ LOSA_MACIZA")</f>
        <v/>
      </c>
      <c r="D19" s="9" t="inlineStr">
        <is>
          <t>Losa maciza en dos direcciones: método de coeficientes E.060 13.7 (casos 1 a 9), acero, cortante y espesor.</t>
        </is>
      </c>
    </row>
    <row r="20" ht="36" customHeight="1">
      <c r="B20" s="8">
        <f>HYPERLINK("#'ALIGERADO'!A1","→ ALIGERADO")</f>
        <v/>
      </c>
      <c r="D20" s="9" t="inlineStr">
        <is>
          <t>Losa aligerada en una dirección (1 a 5 tramos): coeficientes 8.3.3, acero mínimo por 1.2·Mcr, bastones, cortante y deflexiones.</t>
        </is>
      </c>
    </row>
    <row r="21" ht="24" customHeight="1">
      <c r="B21" s="8">
        <f>HYPERLINK("#'ESCALERA'!A1","→ ESCALERA")</f>
        <v/>
      </c>
      <c r="D21" s="9" t="inlineStr">
        <is>
          <t>Escalera de un tramo con descanso: geometría A.010, cargas, momento máximo, acero y cortante.</t>
        </is>
      </c>
    </row>
    <row r="22" ht="36" customHeight="1">
      <c r="B22" s="8">
        <f>HYPERLINK("#'ZAPATA'!A1","→ ZAPATA")</f>
        <v/>
      </c>
      <c r="D22" s="9" t="inlineStr">
        <is>
          <t>Zapata aislada con carga axial y momentos biaxiales: presiones, punzonamiento con transferencia de momento, cortante, flexión, anclaje y aplastamiento.</t>
        </is>
      </c>
    </row>
    <row r="23" ht="24" customHeight="1">
      <c r="B23" s="8">
        <f>HYPERLINK("#'ZAP_CONECTADA'!A1","→ ZAP_CONECTADA")</f>
        <v/>
      </c>
      <c r="D23" s="9" t="inlineStr">
        <is>
          <t>Zapata exterior de lindero con viga de conexión: excentricidad, reacción, viga y zapata.</t>
        </is>
      </c>
    </row>
    <row r="24" ht="36" customHeight="1">
      <c r="B24" s="8">
        <f>HYPERLINK("#'ZAP_COMBINADA'!A1","→ ZAP_COMBINADA")</f>
        <v/>
      </c>
      <c r="D24" s="9" t="inlineStr">
        <is>
          <t>Zapata combinada rectangular de dos columnas: dimensiones, momentos, acero longitudinal y transversal, cortante y punzonamiento.</t>
        </is>
      </c>
    </row>
    <row r="25" ht="24" customHeight="1">
      <c r="B25" s="8">
        <f>HYPERLINK("#'CIMIENTO'!A1","→ CIMIENTO")</f>
        <v/>
      </c>
      <c r="D25" s="9" t="inlineStr">
        <is>
          <t>Cimiento corrido de concreto simple para muros de albañilería (E.060 cap. 22).</t>
        </is>
      </c>
    </row>
    <row r="26" ht="36" customHeight="1">
      <c r="B26" s="8">
        <f>HYPERLINK("#'MURO'!A1","→ MURO")</f>
        <v/>
      </c>
      <c r="D26" s="9" t="inlineStr">
        <is>
          <t>Muro de contención en voladizo: Rankine con sobrecarga y sismo (Mononobe–Okabe), volteo, deslizamiento, presiones, pantalla, puntera y talón.</t>
        </is>
      </c>
    </row>
    <row r="27" ht="24" customHeight="1">
      <c r="B27" s="8">
        <f>HYPERLINK("#'ANCLAJES'!A1","→ ANCLAJES")</f>
        <v/>
      </c>
      <c r="D27" s="9" t="inlineStr">
        <is>
          <t>Cuadro de longitudes de desarrollo, ganchos y empalmes por varilla (E.060 cap. 12).</t>
        </is>
      </c>
    </row>
    <row r="28" ht="36" customHeight="1">
      <c r="B28" s="8">
        <f>HYPERLINK("#'TABLAS'!A1","→ TABLAS")</f>
        <v/>
      </c>
      <c r="D28" s="9" t="inlineStr">
        <is>
          <t>Varillas, combinaciones para viguetas, cargas E.020, pesos de aligerados y coeficientes de losas (Tablas 13.1–13.3).</t>
        </is>
      </c>
    </row>
    <row r="30">
      <c r="B30" s="4" t="inlineStr">
        <is>
          <t>CÓMO SE USA</t>
        </is>
      </c>
    </row>
    <row r="31" ht="24" customHeight="1">
      <c r="B31" s="10" t="inlineStr">
        <is>
          <t>Celda amarilla con texto azul</t>
        </is>
      </c>
      <c r="D31" s="9" t="inlineStr">
        <is>
          <t>Dato que usted ingresa (cargas, dimensiones, materiales, varillas).</t>
        </is>
      </c>
    </row>
    <row r="32" ht="24" customHeight="1">
      <c r="B32" s="11" t="inlineStr">
        <is>
          <t>Celda gris con texto negro</t>
        </is>
      </c>
      <c r="D32" s="9" t="inlineStr">
        <is>
          <t>Resultado calculado. Está protegida para no borrarla por error.</t>
        </is>
      </c>
    </row>
    <row r="33" ht="24" customHeight="1">
      <c r="B33" s="5" t="inlineStr">
        <is>
          <t>CUMPLE / NO CUMPLE</t>
        </is>
      </c>
      <c r="D33" s="9" t="inlineStr">
        <is>
          <t>Verificación de la norma. Si no cumple, cambie el dato indicado en la nota de la derecha. REVISAR (naranja) es un aviso.</t>
        </is>
      </c>
    </row>
    <row r="34" ht="24" customHeight="1">
      <c r="B34" s="5" t="inlineStr">
        <is>
          <t>Listas desplegables</t>
        </is>
      </c>
      <c r="D34" s="9" t="inlineStr">
        <is>
          <t>Varillas, sistema estructural, uso, caso de losa y otras opciones se eligen de una lista.</t>
        </is>
      </c>
    </row>
    <row r="35" ht="24" customHeight="1">
      <c r="B35" s="5" t="inlineStr">
        <is>
          <t>Protección</t>
        </is>
      </c>
      <c r="D35" s="9" t="inlineStr">
        <is>
          <t>Las hojas están protegidas SIN contraseña: Revisar → Desproteger hoja, si necesita cambiar algo.</t>
        </is>
      </c>
    </row>
    <row r="37">
      <c r="B37" s="4" t="inlineStr">
        <is>
          <t>REPORTE EN PDF</t>
        </is>
      </c>
    </row>
    <row r="38">
      <c r="B38" s="12" t="inlineStr">
        <is>
          <t>1. Abra la hoja que quiere imprimir.</t>
        </is>
      </c>
    </row>
    <row r="39">
      <c r="B39" s="12" t="inlineStr">
        <is>
          <t>2. Archivo → Exportar → Crear documento PDF/XPS (o Archivo → Imprimir → Microsoft Print to PDF).</t>
        </is>
      </c>
    </row>
    <row r="40">
      <c r="B40" s="12" t="inlineStr">
        <is>
          <t>3. Cada hoja ya está configurada en A4 vertical, ajustada al ancho, con encabezado, pie y número de página.</t>
        </is>
      </c>
    </row>
    <row r="41">
      <c r="B41" s="12" t="inlineStr">
        <is>
          <t>4. Para un solo PDF con varias hojas: selecciónelas con Ctrl + clic en las pestañas y luego exporte.</t>
        </is>
      </c>
    </row>
    <row r="42">
      <c r="B42" s="12" t="inlineStr">
        <is>
          <t>5. Para varios elementos (Z-1, Z-2, C-1…): clic derecho en la pestaña → Mover o copiar → Crear una copia.</t>
        </is>
      </c>
    </row>
    <row r="44">
      <c r="B44" s="4" t="inlineStr">
        <is>
          <t>NORMAS Y CRITERIOS</t>
        </is>
      </c>
    </row>
    <row r="45" ht="24" customHeight="1">
      <c r="B45" s="9" t="inlineStr">
        <is>
          <t>NTE E.060 Concreto Armado (DS 010-2009-VIVIENDA), verificada con el texto oficial: φ flexión 0.90, cortante 0.85, compresión con estribos 0.70 (hasta 0.90), aplastamiento 0.70.</t>
        </is>
      </c>
    </row>
    <row r="46" ht="24" customHeight="1">
      <c r="B46" s="9" t="inlineStr">
        <is>
          <t>Combinaciones: U = 1.4CM + 1.7CV; U = 1.25(CM+CV) ± CS; U = 0.9CM ± CS; empuje lateral 1.7. Capítulo 21 según el sistema: pórticos/dual tipo II o muros/dual tipo I.</t>
        </is>
      </c>
    </row>
    <row r="47" ht="24" customHeight="1">
      <c r="B47" s="9" t="inlineStr">
        <is>
          <t>NTE E.020 Cargas · NTE E.030 Diseño sismorresistente (para δu, R y combinaciones) · NTE E.050 Suelos · RNE A.010 (escaleras).</t>
        </is>
      </c>
    </row>
    <row r="48" ht="24" customHeight="1">
      <c r="B48" s="9" t="inlineStr">
        <is>
          <t>Unidades: fuerzas en t (toneladas-fuerza), momentos en t·m, esfuerzos en kgf/cm², longitudes en m o cm según se indique. Las fórmulas de la norma (MPa) se convirtieron a kgf/cm².</t>
        </is>
      </c>
    </row>
    <row r="50">
      <c r="B50" s="13" t="inlineStr">
        <is>
          <t>AVISO: esta plantilla es una herramienta gratuita de apoyo al cálculo. No reemplaza el criterio del ingeniero. Los resultados deben ser revisados y firmados por un ingeniero civil colegiado y habilitado, responsable del proyecto. ALF_BIM no se responsabiliza por el uso que se dé a los resultados.</t>
        </is>
      </c>
    </row>
    <row r="51"/>
    <row r="52"/>
    <row r="54">
      <c r="B54" s="4" t="inlineStr">
        <is>
          <t>¿Necesita más? Memoria estructural desde ETABS, acero en Revit, valorizaciones y más en www.alfbim.com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3">
    <mergeCell ref="B42:D42"/>
    <mergeCell ref="B3:D3"/>
    <mergeCell ref="B47:D47"/>
    <mergeCell ref="B50:D52"/>
    <mergeCell ref="B45:D45"/>
    <mergeCell ref="B46:D46"/>
    <mergeCell ref="B41:D41"/>
    <mergeCell ref="B48:D48"/>
    <mergeCell ref="B4:D4"/>
    <mergeCell ref="B40:D40"/>
    <mergeCell ref="B39:D39"/>
    <mergeCell ref="B38:D38"/>
    <mergeCell ref="B2:D2"/>
  </mergeCells>
  <pageMargins left="0.75" right="0.75" top="1" bottom="1" header="0.5" footer="0.5"/>
  <pageSetup paperSize="9" fitToHeight="1" fitToWidth="1"/>
</worksheet>
</file>

<file path=xl/worksheets/sheet2.xml><?xml version="1.0" encoding="utf-8"?>
<worksheet xmlns="http://schemas.openxmlformats.org/spreadsheetml/2006/main">
  <sheetPr>
    <tabColor rgb="001E8A5A"/>
    <outlinePr summaryBelow="1" summaryRight="1"/>
    <pageSetUpPr fitToPage="1"/>
  </sheetPr>
  <dimension ref="B1:F56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</cols>
  <sheetData>
    <row r="1" ht="24" customHeight="1">
      <c r="B1" s="14" t="inlineStr">
        <is>
          <t>PREDIMENSIONAMIENTO DE ELEMENTOS ESTRUCTURALES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Edificación de 4 niveles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</row>
    <row r="10" ht="17" customHeight="1">
      <c r="B10" s="21" t="inlineStr">
        <is>
          <t>1. LOSAS</t>
        </is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</row>
    <row r="13" ht="13.5" customHeight="1">
      <c r="B13" s="9" t="inlineStr">
        <is>
          <t>Luz libre mayor del aligerado (una dirección)</t>
        </is>
      </c>
      <c r="C13" s="22" t="inlineStr">
        <is>
          <t>ln</t>
        </is>
      </c>
      <c r="D13" s="25" t="n">
        <v>4.2</v>
      </c>
      <c r="E13" s="24" t="inlineStr">
        <is>
          <t>m</t>
        </is>
      </c>
    </row>
    <row r="14" ht="13.5" customHeight="1">
      <c r="B14" s="9" t="inlineStr">
        <is>
          <t>Aligerado: criterio práctico ln/25</t>
        </is>
      </c>
      <c r="C14" s="22" t="inlineStr">
        <is>
          <t>h</t>
        </is>
      </c>
      <c r="D14" s="26">
        <f>$D$13/25*100</f>
        <v/>
      </c>
      <c r="E14" s="24" t="inlineStr">
        <is>
          <t>cm</t>
        </is>
      </c>
      <c r="F14" s="27" t="inlineStr">
        <is>
          <t>Práctica peruana para s/c ≤ 300 kgf/m²</t>
        </is>
      </c>
    </row>
    <row r="15" ht="24" customHeight="1">
      <c r="B15" s="9" t="inlineStr">
        <is>
          <t>Aligerado: referencia Tabla 9.1 (ambos extremos continuos ℓ/21)</t>
        </is>
      </c>
      <c r="C15" s="22" t="inlineStr">
        <is>
          <t>h</t>
        </is>
      </c>
      <c r="D15" s="26">
        <f>$D$13/21*100</f>
        <v/>
      </c>
      <c r="E15" s="24" t="inlineStr">
        <is>
          <t>cm</t>
        </is>
      </c>
      <c r="F15" s="27" t="inlineStr">
        <is>
          <t>E.060 9.6.2.1: sin verificar deflexiones</t>
        </is>
      </c>
    </row>
    <row r="16" ht="13.5" customHeight="1">
      <c r="B16" s="9" t="inlineStr">
        <is>
          <t>PERALTE DE ALIGERADO SUGERIDO</t>
        </is>
      </c>
      <c r="C16" s="22" t="inlineStr">
        <is>
          <t>h</t>
        </is>
      </c>
      <c r="D16" s="28">
        <f>IF($D$14&lt;=17,17,IF($D$14&lt;=20,20,IF($D$14&lt;=25,25,30)))</f>
        <v/>
      </c>
      <c r="E16" s="24" t="inlineStr">
        <is>
          <t>cm</t>
        </is>
      </c>
      <c r="F16" s="27" t="inlineStr">
        <is>
          <t>Valores comerciales 17 / 20 / 25 / 30 cm</t>
        </is>
      </c>
    </row>
    <row r="17" ht="24" customHeight="1">
      <c r="B17" s="9" t="inlineStr">
        <is>
          <t>h sugerido ≥ referencia Tabla 9.1</t>
        </is>
      </c>
      <c r="C17" s="29">
        <f>IF($D$16&gt;=$D$15,"CUMPLE","REVISAR")</f>
        <v/>
      </c>
      <c r="D17" s="30" t="n"/>
      <c r="E17" s="30" t="n"/>
      <c r="F17" s="27" t="inlineStr">
        <is>
          <t>Si sale REVISAR: verifique deflexiones en la hoja ALIGERADO o use el h mayor</t>
        </is>
      </c>
    </row>
    <row r="18" ht="24" customHeight="1">
      <c r="B18" s="9" t="inlineStr">
        <is>
          <t>Losa maciza en dos direcciones: luz libre corta A</t>
        </is>
      </c>
      <c r="C18" s="22" t="inlineStr">
        <is>
          <t>A</t>
        </is>
      </c>
      <c r="D18" s="25" t="n">
        <v>4</v>
      </c>
      <c r="E18" s="24" t="inlineStr">
        <is>
          <t>m</t>
        </is>
      </c>
    </row>
    <row r="19" ht="24" customHeight="1">
      <c r="B19" s="9" t="inlineStr">
        <is>
          <t>Losa maciza en dos direcciones: luz libre larga B</t>
        </is>
      </c>
      <c r="C19" s="22" t="inlineStr">
        <is>
          <t>B</t>
        </is>
      </c>
      <c r="D19" s="25" t="n">
        <v>5</v>
      </c>
      <c r="E19" s="24" t="inlineStr">
        <is>
          <t>m</t>
        </is>
      </c>
    </row>
    <row r="20" ht="13.5" customHeight="1">
      <c r="B20" s="9" t="inlineStr">
        <is>
          <t>Criterio práctico perímetro/180</t>
        </is>
      </c>
      <c r="C20" s="22" t="inlineStr">
        <is>
          <t>h</t>
        </is>
      </c>
      <c r="D20" s="26">
        <f>2*($D$18+$D$19)/180*100</f>
        <v/>
      </c>
      <c r="E20" s="24" t="inlineStr">
        <is>
          <t>cm</t>
        </is>
      </c>
    </row>
    <row r="21" ht="13.5" customHeight="1">
      <c r="B21" s="9" t="inlineStr">
        <is>
          <t>E.060 9.6.3.3 con vigas rígidas (αfm &gt; 2)</t>
        </is>
      </c>
      <c r="C21" s="22" t="inlineStr">
        <is>
          <t>h</t>
        </is>
      </c>
      <c r="D21" s="26">
        <f>MAX(9,$D$19*100*(0.8+$D$12/14000)/(36+9*$D$19/$D$18))</f>
        <v/>
      </c>
      <c r="E21" s="24" t="inlineStr">
        <is>
          <t>cm</t>
        </is>
      </c>
      <c r="F21" s="27" t="inlineStr">
        <is>
          <t>h = ln(0.8 + fy/14000)/(36 + 9β) ≥ 9 cm</t>
        </is>
      </c>
    </row>
    <row r="22" ht="13.5" customHeight="1">
      <c r="B22" s="9" t="inlineStr">
        <is>
          <t>ESPESOR DE LOSA MACIZA SUGERIDO</t>
        </is>
      </c>
      <c r="C22" s="22" t="inlineStr">
        <is>
          <t>h</t>
        </is>
      </c>
      <c r="D22" s="28">
        <f>CEILING(MAX($D$20,$D$21),1)</f>
        <v/>
      </c>
      <c r="E22" s="24" t="inlineStr">
        <is>
          <t>cm</t>
        </is>
      </c>
    </row>
    <row r="24" ht="17" customHeight="1">
      <c r="B24" s="21" t="inlineStr">
        <is>
          <t>2. VIGAS</t>
        </is>
      </c>
    </row>
    <row r="25" ht="13.5" customHeight="1">
      <c r="B25" s="9" t="inlineStr">
        <is>
          <t>Luz libre de la viga</t>
        </is>
      </c>
      <c r="C25" s="22" t="inlineStr">
        <is>
          <t>ln</t>
        </is>
      </c>
      <c r="D25" s="25" t="n">
        <v>6</v>
      </c>
      <c r="E25" s="24" t="inlineStr">
        <is>
          <t>m</t>
        </is>
      </c>
    </row>
    <row r="26" ht="13.5" customHeight="1">
      <c r="B26" s="9" t="inlineStr">
        <is>
          <t>Sistema estructural</t>
        </is>
      </c>
      <c r="C26" s="22" t="inlineStr"/>
      <c r="D26" s="31" t="inlineStr">
        <is>
          <t>Pórticos o dual tipo II</t>
        </is>
      </c>
      <c r="E26" s="32" t="n"/>
      <c r="F26" s="33" t="n"/>
    </row>
    <row r="27" ht="13.5" customHeight="1">
      <c r="B27" s="9" t="inlineStr">
        <is>
          <t>Peralte ln/10 (sismo, pórticos)</t>
        </is>
      </c>
      <c r="C27" s="22" t="inlineStr">
        <is>
          <t>h</t>
        </is>
      </c>
      <c r="D27" s="26">
        <f>$D$25/10*100</f>
        <v/>
      </c>
      <c r="E27" s="24" t="inlineStr">
        <is>
          <t>cm</t>
        </is>
      </c>
    </row>
    <row r="28" ht="13.5" customHeight="1">
      <c r="B28" s="9" t="inlineStr">
        <is>
          <t>Peralte ln/12 (gravedad o muros)</t>
        </is>
      </c>
      <c r="C28" s="22" t="inlineStr">
        <is>
          <t>h</t>
        </is>
      </c>
      <c r="D28" s="26">
        <f>$D$25/12*100</f>
        <v/>
      </c>
      <c r="E28" s="24" t="inlineStr">
        <is>
          <t>cm</t>
        </is>
      </c>
    </row>
    <row r="29" ht="13.5" customHeight="1">
      <c r="B29" s="9" t="inlineStr">
        <is>
          <t>PERALTE DE VIGA SUGERIDO</t>
        </is>
      </c>
      <c r="C29" s="22" t="inlineStr">
        <is>
          <t>h</t>
        </is>
      </c>
      <c r="D29" s="28">
        <f>CEILING(IF($D$26="Pórticos o dual tipo II",$D$27,($D$27+$D$28)/2),5)</f>
        <v/>
      </c>
      <c r="E29" s="24" t="inlineStr">
        <is>
          <t>cm</t>
        </is>
      </c>
      <c r="F29" s="27" t="inlineStr">
        <is>
          <t>Redondeado a 5 cm</t>
        </is>
      </c>
    </row>
    <row r="30" ht="13.5" customHeight="1">
      <c r="B30" s="9" t="inlineStr">
        <is>
          <t>ANCHO DE VIGA SUGERIDO</t>
        </is>
      </c>
      <c r="C30" s="22" t="inlineStr">
        <is>
          <t>b</t>
        </is>
      </c>
      <c r="D30" s="28">
        <f>MAX(25,CEILING($D$29/2,5))</f>
        <v/>
      </c>
      <c r="E30" s="24" t="inlineStr">
        <is>
          <t>cm</t>
        </is>
      </c>
      <c r="F30" s="27" t="inlineStr">
        <is>
          <t>E.060 21.5.1: bw ≥ 25 cm y ≥ 0.25h</t>
        </is>
      </c>
    </row>
    <row r="31" ht="24" customHeight="1">
      <c r="B31" s="9" t="inlineStr">
        <is>
          <t>Referencia Tabla 9.1 (ambos extremos continuos ℓ/21)</t>
        </is>
      </c>
      <c r="C31" s="22" t="inlineStr">
        <is>
          <t>h</t>
        </is>
      </c>
      <c r="D31" s="26">
        <f>$D$25/21*100</f>
        <v/>
      </c>
      <c r="E31" s="24" t="inlineStr">
        <is>
          <t>cm</t>
        </is>
      </c>
    </row>
    <row r="33" ht="17" customHeight="1">
      <c r="B33" s="21" t="inlineStr">
        <is>
          <t>3. COLUMNAS (área tributaria)</t>
        </is>
      </c>
    </row>
    <row r="34" ht="13.5" customHeight="1">
      <c r="B34" s="9" t="inlineStr">
        <is>
          <t>Área tributaria</t>
        </is>
      </c>
      <c r="C34" s="22" t="inlineStr">
        <is>
          <t>At</t>
        </is>
      </c>
      <c r="D34" s="25" t="n">
        <v>20</v>
      </c>
      <c r="E34" s="24" t="inlineStr">
        <is>
          <t>m²</t>
        </is>
      </c>
    </row>
    <row r="35" ht="13.5" customHeight="1">
      <c r="B35" s="9" t="inlineStr">
        <is>
          <t>Número de pisos sobre la columna</t>
        </is>
      </c>
      <c r="C35" s="22" t="inlineStr">
        <is>
          <t>N</t>
        </is>
      </c>
      <c r="D35" s="23" t="n">
        <v>4</v>
      </c>
      <c r="E35" s="24" t="inlineStr"/>
    </row>
    <row r="36" ht="24" customHeight="1">
      <c r="B36" s="9" t="inlineStr">
        <is>
          <t>Categoría de la edificación (E.030)</t>
        </is>
      </c>
      <c r="C36" s="22" t="inlineStr"/>
      <c r="D36" s="31" t="inlineStr">
        <is>
          <t>C</t>
        </is>
      </c>
      <c r="E36" s="24" t="inlineStr"/>
      <c r="F36" s="27" t="inlineStr">
        <is>
          <t>A esencial 1.5 · B importante 1.25 · C común 1.0 t/m²</t>
        </is>
      </c>
    </row>
    <row r="37" ht="24" customHeight="1">
      <c r="B37" s="9" t="inlineStr">
        <is>
          <t>Ubicación de la columna</t>
        </is>
      </c>
      <c r="C37" s="22" t="inlineStr"/>
      <c r="D37" s="31" t="inlineStr">
        <is>
          <t>Interior</t>
        </is>
      </c>
      <c r="E37" s="24" t="inlineStr"/>
      <c r="F37" s="27" t="inlineStr">
        <is>
          <t>Interior: n = 0.45 · Exterior o esquina: n = 0.35</t>
        </is>
      </c>
    </row>
    <row r="38" ht="13.5" customHeight="1">
      <c r="B38" s="9" t="inlineStr">
        <is>
          <t>Peso unitario por piso</t>
        </is>
      </c>
      <c r="C38" s="22" t="inlineStr">
        <is>
          <t>Pg</t>
        </is>
      </c>
      <c r="D38" s="34">
        <f>IF($D$36="A",1.5,IF($D$36="B",1.25,1.0))</f>
        <v/>
      </c>
      <c r="E38" s="24" t="inlineStr">
        <is>
          <t>t/m²</t>
        </is>
      </c>
    </row>
    <row r="39" ht="13.5" customHeight="1">
      <c r="B39" s="9" t="inlineStr">
        <is>
          <t>Carga de servicio P = Pg·At·N</t>
        </is>
      </c>
      <c r="C39" s="22" t="inlineStr">
        <is>
          <t>P</t>
        </is>
      </c>
      <c r="D39" s="34">
        <f>$D$38*$D$34*$D$35</f>
        <v/>
      </c>
      <c r="E39" s="24" t="inlineStr">
        <is>
          <t>t</t>
        </is>
      </c>
    </row>
    <row r="40" ht="13.5" customHeight="1">
      <c r="B40" s="9" t="inlineStr">
        <is>
          <t>Factor n</t>
        </is>
      </c>
      <c r="C40" s="22" t="inlineStr">
        <is>
          <t>n</t>
        </is>
      </c>
      <c r="D40" s="34">
        <f>IF($D$37="Interior",0.45,0.35)</f>
        <v/>
      </c>
      <c r="E40" s="24" t="inlineStr"/>
    </row>
    <row r="41" ht="13.5" customHeight="1">
      <c r="B41" s="9" t="inlineStr">
        <is>
          <t>Área de columna Ac = P/(n·f'c)</t>
        </is>
      </c>
      <c r="C41" s="22" t="inlineStr">
        <is>
          <t>Ac</t>
        </is>
      </c>
      <c r="D41" s="28">
        <f>$D$39*1000/($D$40*$D$11)</f>
        <v/>
      </c>
      <c r="E41" s="24" t="inlineStr">
        <is>
          <t>cm²</t>
        </is>
      </c>
      <c r="F41" s="27" t="inlineStr">
        <is>
          <t>Criterio de Blanco Blasco</t>
        </is>
      </c>
    </row>
    <row r="42" ht="13.5" customHeight="1">
      <c r="B42" s="9" t="inlineStr">
        <is>
          <t>LADO DE COLUMNA CUADRADA</t>
        </is>
      </c>
      <c r="C42" s="22" t="inlineStr">
        <is>
          <t>b</t>
        </is>
      </c>
      <c r="D42" s="28">
        <f>MAX(25,CEILING(SQRT($D$41),5))</f>
        <v/>
      </c>
      <c r="E42" s="24" t="inlineStr">
        <is>
          <t>cm</t>
        </is>
      </c>
      <c r="F42" s="27" t="inlineStr">
        <is>
          <t>Mínimo 25 cm (E.060 21.6.1.2)</t>
        </is>
      </c>
    </row>
    <row r="43" ht="13.5" customHeight="1">
      <c r="B43" s="9" t="inlineStr">
        <is>
          <t>Ancho fijo para columna rectangular</t>
        </is>
      </c>
      <c r="C43" s="22" t="inlineStr">
        <is>
          <t>b</t>
        </is>
      </c>
      <c r="D43" s="23" t="n">
        <v>30</v>
      </c>
      <c r="E43" s="24" t="inlineStr">
        <is>
          <t>cm</t>
        </is>
      </c>
    </row>
    <row r="44" ht="13.5" customHeight="1">
      <c r="B44" s="9" t="inlineStr">
        <is>
          <t>LARGO DE COLUMNA RECTANGULAR</t>
        </is>
      </c>
      <c r="C44" s="22" t="inlineStr">
        <is>
          <t>h</t>
        </is>
      </c>
      <c r="D44" s="28">
        <f>MAX($D$43,CEILING($D$41/$D$43,5))</f>
        <v/>
      </c>
      <c r="E44" s="24" t="inlineStr">
        <is>
          <t>cm</t>
        </is>
      </c>
    </row>
    <row r="46" ht="17" customHeight="1">
      <c r="B46" s="21" t="inlineStr">
        <is>
          <t>4. PLACAS: LONGITUD MÍNIMA POR DIRECCIÓN (estimación)</t>
        </is>
      </c>
    </row>
    <row r="47" ht="13.5" customHeight="1">
      <c r="B47" s="9" t="inlineStr">
        <is>
          <t>Factor de zona Z</t>
        </is>
      </c>
      <c r="C47" s="22" t="inlineStr">
        <is>
          <t>Z</t>
        </is>
      </c>
      <c r="D47" s="25" t="n">
        <v>0.35</v>
      </c>
      <c r="E47" s="24" t="inlineStr"/>
      <c r="F47" s="27" t="inlineStr">
        <is>
          <t>E.030 Anexo: zona según el distrito</t>
        </is>
      </c>
    </row>
    <row r="48" ht="13.5" customHeight="1">
      <c r="B48" s="9" t="inlineStr">
        <is>
          <t>Factor de uso U</t>
        </is>
      </c>
      <c r="C48" s="22" t="inlineStr">
        <is>
          <t>U</t>
        </is>
      </c>
      <c r="D48" s="25" t="n">
        <v>1</v>
      </c>
      <c r="E48" s="24" t="inlineStr"/>
    </row>
    <row r="49" ht="13.5" customHeight="1">
      <c r="B49" s="9" t="inlineStr">
        <is>
          <t>Factor de suelo S</t>
        </is>
      </c>
      <c r="C49" s="22" t="inlineStr">
        <is>
          <t>S</t>
        </is>
      </c>
      <c r="D49" s="25" t="n">
        <v>1.15</v>
      </c>
      <c r="E49" s="24" t="inlineStr"/>
    </row>
    <row r="50" ht="13.5" customHeight="1">
      <c r="B50" s="9" t="inlineStr">
        <is>
          <t>Coeficiente de reducción R</t>
        </is>
      </c>
      <c r="C50" s="22" t="inlineStr">
        <is>
          <t>R</t>
        </is>
      </c>
      <c r="D50" s="35" t="n">
        <v>6</v>
      </c>
      <c r="E50" s="24" t="inlineStr"/>
      <c r="F50" s="27" t="inlineStr">
        <is>
          <t>Muros estructurales R0 = 6</t>
        </is>
      </c>
    </row>
    <row r="51" ht="13.5" customHeight="1">
      <c r="B51" s="9" t="inlineStr">
        <is>
          <t>Área techada total (todos los pisos)</t>
        </is>
      </c>
      <c r="C51" s="22" t="inlineStr">
        <is>
          <t>Atot</t>
        </is>
      </c>
      <c r="D51" s="23" t="n">
        <v>480</v>
      </c>
      <c r="E51" s="24" t="inlineStr">
        <is>
          <t>m²</t>
        </is>
      </c>
    </row>
    <row r="52" ht="13.5" customHeight="1">
      <c r="B52" s="9" t="inlineStr">
        <is>
          <t>Peso sísmico unitario</t>
        </is>
      </c>
      <c r="C52" s="22" t="inlineStr">
        <is>
          <t>w</t>
        </is>
      </c>
      <c r="D52" s="25" t="n">
        <v>1</v>
      </c>
      <c r="E52" s="24" t="inlineStr">
        <is>
          <t>t/m²</t>
        </is>
      </c>
      <c r="F52" s="27" t="inlineStr">
        <is>
          <t>≈ 1.0 t/m² para edificios de concreto</t>
        </is>
      </c>
    </row>
    <row r="53" ht="13.5" customHeight="1">
      <c r="B53" s="9" t="inlineStr">
        <is>
          <t>Espesor de placa</t>
        </is>
      </c>
      <c r="C53" s="22" t="inlineStr">
        <is>
          <t>t</t>
        </is>
      </c>
      <c r="D53" s="23" t="n">
        <v>20</v>
      </c>
      <c r="E53" s="24" t="inlineStr">
        <is>
          <t>cm</t>
        </is>
      </c>
      <c r="F53" s="27" t="inlineStr">
        <is>
          <t>E.060 21.9.3.2: ≥ 15 cm</t>
        </is>
      </c>
    </row>
    <row r="54" ht="13.5" customHeight="1">
      <c r="B54" s="9" t="inlineStr">
        <is>
          <t>Cortante basal V = Z·U·C·S/R·P (C = 2.5)</t>
        </is>
      </c>
      <c r="C54" s="22" t="inlineStr">
        <is>
          <t>V</t>
        </is>
      </c>
      <c r="D54" s="34">
        <f>$D$47*$D$48*2.5*$D$49/$D$50*$D$51*$D$52</f>
        <v/>
      </c>
      <c r="E54" s="24" t="inlineStr">
        <is>
          <t>t</t>
        </is>
      </c>
    </row>
    <row r="55" ht="13.5" customHeight="1">
      <c r="B55" s="9" t="inlineStr">
        <is>
          <t>Resistencia del concreto φ·0.53·√f'c</t>
        </is>
      </c>
      <c r="C55" s="22" t="inlineStr">
        <is>
          <t>φvc</t>
        </is>
      </c>
      <c r="D55" s="34">
        <f>0.85*0.53*SQRT($D$11)</f>
        <v/>
      </c>
      <c r="E55" s="24" t="inlineStr">
        <is>
          <t>kgf/cm²</t>
        </is>
      </c>
    </row>
    <row r="56" ht="24" customHeight="1">
      <c r="B56" s="9" t="inlineStr">
        <is>
          <t>LONGITUD DE PLACAS POR DIRECCIÓN L ≥ V/(φvc·t)</t>
        </is>
      </c>
      <c r="C56" s="22" t="inlineStr">
        <is>
          <t>L</t>
        </is>
      </c>
      <c r="D56" s="34">
        <f>$D$54*1000/($D$55*$D$53)/100</f>
        <v/>
      </c>
      <c r="E56" s="24" t="inlineStr">
        <is>
          <t>m</t>
        </is>
      </c>
      <c r="F56" s="27" t="inlineStr">
        <is>
          <t>Estimación inicial: verifique con el análisis sísmico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3">
    <mergeCell ref="C3:F3"/>
    <mergeCell ref="B24:F24"/>
    <mergeCell ref="B2:F2"/>
    <mergeCell ref="C4:F4"/>
    <mergeCell ref="B10:F10"/>
    <mergeCell ref="B33:F33"/>
    <mergeCell ref="C6:F6"/>
    <mergeCell ref="C7:F7"/>
    <mergeCell ref="C17:E17"/>
    <mergeCell ref="D26:F26"/>
    <mergeCell ref="B46:F46"/>
    <mergeCell ref="B1:F1"/>
    <mergeCell ref="C5:F5"/>
  </mergeCells>
  <conditionalFormatting sqref="B1:F57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3">
    <dataValidation sqref="D26" showDropDown="0" showInputMessage="0" showErrorMessage="0" allowBlank="0" errorTitle="Valor no válido" error="Elija un valor de la lista" type="list">
      <formula1>"Pórticos o dual tipo II,Muros estructurales o dual tipo I"</formula1>
    </dataValidation>
    <dataValidation sqref="D36" showDropDown="0" showInputMessage="0" showErrorMessage="0" allowBlank="0" errorTitle="Valor no válido" error="Elija un valor de la lista" type="list">
      <formula1>"A,B,C"</formula1>
    </dataValidation>
    <dataValidation sqref="D37" showDropDown="0" showInputMessage="0" showErrorMessage="0" allowBlank="0" errorTitle="Valor no válido" error="Elija un valor de la lista" type="list">
      <formula1>"Interior,Exterior,Esquina"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H102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34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</cols>
  <sheetData>
    <row r="1" ht="24" customHeight="1">
      <c r="B1" s="14" t="inlineStr">
        <is>
          <t>DISEÑO DE VIGA SÍSMICA · NTE E.060 CAP. 10, 11 Y 21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  <c r="G3" s="18" t="n"/>
      <c r="H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  <c r="G4" s="18" t="n"/>
      <c r="H4" s="18" t="n"/>
    </row>
    <row r="5">
      <c r="B5" s="16" t="inlineStr">
        <is>
          <t>Elemento</t>
        </is>
      </c>
      <c r="C5" s="19" t="inlineStr">
        <is>
          <t>Viga V-101 (30×60), eje 2, tramo A–B</t>
        </is>
      </c>
      <c r="D5" s="18" t="n"/>
      <c r="E5" s="18" t="n"/>
      <c r="F5" s="18" t="n"/>
      <c r="G5" s="18" t="n"/>
      <c r="H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G6" s="18" t="n"/>
      <c r="H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G7" s="18" t="n"/>
      <c r="H7" s="18" t="n"/>
    </row>
    <row r="10" ht="17" customHeight="1">
      <c r="B10" s="21" t="inlineStr">
        <is>
          <t>1. DATOS DE ENTRADA</t>
        </is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F11" s="27" t="inlineStr">
        <is>
          <t>Elementos sísmicos: f'c ≥ 210 (21.3.2)</t>
        </is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</row>
    <row r="13" ht="13.5" customHeight="1">
      <c r="B13" s="9" t="inlineStr">
        <is>
          <t>Sistema estructural (define el capítulo 21)</t>
        </is>
      </c>
      <c r="C13" s="22" t="inlineStr"/>
      <c r="D13" s="31" t="inlineStr">
        <is>
          <t>Pórticos o dual tipo II</t>
        </is>
      </c>
      <c r="E13" s="32" t="n"/>
      <c r="F13" s="32" t="n"/>
      <c r="G13" s="32" t="n"/>
      <c r="H13" s="33" t="n"/>
    </row>
    <row r="14" ht="13.5" customHeight="1">
      <c r="B14" s="9" t="inlineStr">
        <is>
          <t>Ancho de la viga</t>
        </is>
      </c>
      <c r="C14" s="22" t="inlineStr">
        <is>
          <t>b</t>
        </is>
      </c>
      <c r="D14" s="35" t="n">
        <v>30</v>
      </c>
      <c r="E14" s="24" t="inlineStr">
        <is>
          <t>cm</t>
        </is>
      </c>
    </row>
    <row r="15" ht="13.5" customHeight="1">
      <c r="B15" s="9" t="inlineStr">
        <is>
          <t>Peralte de la viga</t>
        </is>
      </c>
      <c r="C15" s="22" t="inlineStr">
        <is>
          <t>h</t>
        </is>
      </c>
      <c r="D15" s="35" t="n">
        <v>60</v>
      </c>
      <c r="E15" s="24" t="inlineStr">
        <is>
          <t>cm</t>
        </is>
      </c>
    </row>
    <row r="16" ht="13.5" customHeight="1">
      <c r="B16" s="9" t="inlineStr">
        <is>
          <t>Del borde al centroide del acero en tracción</t>
        </is>
      </c>
      <c r="C16" s="22" t="inlineStr">
        <is>
          <t>d'</t>
        </is>
      </c>
      <c r="D16" s="35" t="n">
        <v>6</v>
      </c>
      <c r="E16" s="24" t="inlineStr">
        <is>
          <t>cm</t>
        </is>
      </c>
      <c r="F16" s="27" t="inlineStr">
        <is>
          <t>Una capa: 4 + Ø estribo + db/2 ≈ 6 cm</t>
        </is>
      </c>
    </row>
    <row r="17" ht="13.5" customHeight="1">
      <c r="B17" s="9" t="inlineStr">
        <is>
          <t>Luz libre (cara a cara de columnas)</t>
        </is>
      </c>
      <c r="C17" s="22" t="inlineStr">
        <is>
          <t>ln</t>
        </is>
      </c>
      <c r="D17" s="25" t="n">
        <v>5.6</v>
      </c>
      <c r="E17" s="24" t="inlineStr">
        <is>
          <t>m</t>
        </is>
      </c>
    </row>
    <row r="18" ht="13.5" customHeight="1">
      <c r="B18" s="9" t="inlineStr">
        <is>
          <t>Varilla superior</t>
        </is>
      </c>
      <c r="C18" s="22" t="inlineStr">
        <is>
          <t>Øs</t>
        </is>
      </c>
      <c r="D18" s="31" t="inlineStr">
        <is>
          <t>3/4"</t>
        </is>
      </c>
      <c r="E18" s="24" t="inlineStr"/>
    </row>
    <row r="19" ht="13.5" customHeight="1">
      <c r="B19" s="9" t="inlineStr">
        <is>
          <t>Varilla inferior</t>
        </is>
      </c>
      <c r="C19" s="22" t="inlineStr">
        <is>
          <t>Øi</t>
        </is>
      </c>
      <c r="D19" s="31" t="inlineStr">
        <is>
          <t>5/8"</t>
        </is>
      </c>
      <c r="E19" s="24" t="inlineStr"/>
    </row>
    <row r="20" ht="13.5" customHeight="1">
      <c r="B20" s="9" t="inlineStr">
        <is>
          <t>Varilla del estribo</t>
        </is>
      </c>
      <c r="C20" s="22" t="inlineStr">
        <is>
          <t>Øe</t>
        </is>
      </c>
      <c r="D20" s="31" t="inlineStr">
        <is>
          <t>3/8"</t>
        </is>
      </c>
      <c r="E20" s="24" t="inlineStr"/>
      <c r="F20" s="27" t="inlineStr">
        <is>
          <t>E.060 21: Ø 3/8" para barras hasta 1"</t>
        </is>
      </c>
    </row>
    <row r="21" ht="13.5" customHeight="1">
      <c r="B21" s="9" t="inlineStr">
        <is>
          <t>Ramas del estribo</t>
        </is>
      </c>
      <c r="C21" s="22" t="inlineStr">
        <is>
          <t>n</t>
        </is>
      </c>
      <c r="D21" s="23" t="n">
        <v>2</v>
      </c>
      <c r="E21" s="24" t="inlineStr"/>
    </row>
    <row r="22">
      <c r="B22" s="4" t="inlineStr">
        <is>
          <t>Cargas de gravedad sobre la viga (servicio) y cortantes del análisis</t>
        </is>
      </c>
    </row>
    <row r="23" ht="13.5" customHeight="1">
      <c r="B23" s="9" t="inlineStr">
        <is>
          <t>Carga muerta repartida</t>
        </is>
      </c>
      <c r="C23" s="22" t="inlineStr">
        <is>
          <t>wD</t>
        </is>
      </c>
      <c r="D23" s="25" t="n">
        <v>2.1</v>
      </c>
      <c r="E23" s="24" t="inlineStr">
        <is>
          <t>t/m</t>
        </is>
      </c>
    </row>
    <row r="24" ht="13.5" customHeight="1">
      <c r="B24" s="9" t="inlineStr">
        <is>
          <t>Carga viva repartida</t>
        </is>
      </c>
      <c r="C24" s="22" t="inlineStr">
        <is>
          <t>wL</t>
        </is>
      </c>
      <c r="D24" s="25" t="n">
        <v>0.8</v>
      </c>
      <c r="E24" s="24" t="inlineStr">
        <is>
          <t>t/m</t>
        </is>
      </c>
    </row>
    <row r="25" ht="13.5" customHeight="1">
      <c r="B25" s="9" t="inlineStr">
        <is>
          <t>Cortante último máximo del análisis (envolvente)</t>
        </is>
      </c>
      <c r="C25" s="22" t="inlineStr">
        <is>
          <t>Vua</t>
        </is>
      </c>
      <c r="D25" s="25" t="n">
        <v>14</v>
      </c>
      <c r="E25" s="24" t="inlineStr">
        <is>
          <t>t</t>
        </is>
      </c>
    </row>
    <row r="26" ht="13.5" customHeight="1">
      <c r="B26" s="9" t="inlineStr">
        <is>
          <t>Cortante de sismo puro en la cara</t>
        </is>
      </c>
      <c r="C26" s="22" t="inlineStr">
        <is>
          <t>VS</t>
        </is>
      </c>
      <c r="D26" s="25" t="n">
        <v>5</v>
      </c>
      <c r="E26" s="24" t="inlineStr">
        <is>
          <t>t</t>
        </is>
      </c>
      <c r="F26" s="27" t="inlineStr">
        <is>
          <t>Para la alternativa 2.5·sismo (21.4.3)</t>
        </is>
      </c>
    </row>
    <row r="27">
      <c r="B27" s="4" t="inlineStr">
        <is>
          <t>Momentos últimos en las caras (envolvente del análisis, valores positivos)</t>
        </is>
      </c>
    </row>
    <row r="28" ht="24" customHeight="1">
      <c r="B28" s="36" t="inlineStr">
        <is>
          <t>Sección</t>
        </is>
      </c>
      <c r="C28" s="37" t="inlineStr">
        <is>
          <t>Izq (−)</t>
        </is>
      </c>
      <c r="D28" s="37" t="inlineStr">
        <is>
          <t>Izq (+)</t>
        </is>
      </c>
      <c r="E28" s="37" t="inlineStr">
        <is>
          <t>Centro (−)</t>
        </is>
      </c>
      <c r="F28" s="37" t="inlineStr">
        <is>
          <t>Centro (+)</t>
        </is>
      </c>
      <c r="G28" s="37" t="inlineStr">
        <is>
          <t>Der (−)</t>
        </is>
      </c>
      <c r="H28" s="37" t="inlineStr">
        <is>
          <t>Der (+)</t>
        </is>
      </c>
    </row>
    <row r="29" ht="13.5" customHeight="1">
      <c r="B29" s="38" t="inlineStr">
        <is>
          <t>Mu (t·m)</t>
        </is>
      </c>
      <c r="C29" s="25" t="n">
        <v>22</v>
      </c>
      <c r="D29" s="25" t="n">
        <v>9</v>
      </c>
      <c r="E29" s="25" t="n">
        <v>0</v>
      </c>
      <c r="F29" s="25" t="n">
        <v>12</v>
      </c>
      <c r="G29" s="25" t="n">
        <v>24</v>
      </c>
      <c r="H29" s="25" t="n">
        <v>10</v>
      </c>
    </row>
    <row r="30" ht="13.5" customHeight="1">
      <c r="B30" s="38" t="inlineStr">
        <is>
          <t>n varillas (vacío = automático)</t>
        </is>
      </c>
      <c r="C30" s="23" t="n"/>
      <c r="D30" s="23" t="n"/>
      <c r="E30" s="23" t="n"/>
      <c r="F30" s="23" t="n"/>
      <c r="G30" s="23" t="n"/>
      <c r="H30" s="23" t="n"/>
    </row>
    <row r="31">
      <c r="B31" s="27" t="inlineStr">
        <is>
          <t>La armadura se elige sola (mínimo 2 varillas corridas). Escriba un número en la fila amarilla para fijarla usted.</t>
        </is>
      </c>
    </row>
    <row r="33" ht="17" customHeight="1">
      <c r="B33" s="21" t="inlineStr">
        <is>
          <t>2. PROPIEDADES Y LÍMITES (E.060 10.3, 10.5 y 21)</t>
        </is>
      </c>
    </row>
    <row r="34" ht="13.5" customHeight="1">
      <c r="B34" s="9" t="inlineStr">
        <is>
          <t>Peralte efectivo d = h − d'</t>
        </is>
      </c>
      <c r="C34" s="22" t="inlineStr">
        <is>
          <t>d</t>
        </is>
      </c>
      <c r="D34" s="34">
        <f>$D$15-$D$16</f>
        <v/>
      </c>
      <c r="E34" s="24" t="inlineStr">
        <is>
          <t>cm</t>
        </is>
      </c>
    </row>
    <row r="35" ht="13.5" customHeight="1">
      <c r="B35" s="9" t="inlineStr">
        <is>
          <t>Diámetro superior</t>
        </is>
      </c>
      <c r="C35" s="22" t="inlineStr">
        <is>
          <t>db</t>
        </is>
      </c>
      <c r="D35" s="39">
        <f>INDEX(BAR_DB,MATCH($D$18,BAR_NOM,0))</f>
        <v/>
      </c>
      <c r="E35" s="24" t="inlineStr">
        <is>
          <t>cm</t>
        </is>
      </c>
    </row>
    <row r="36" ht="13.5" customHeight="1">
      <c r="B36" s="9" t="inlineStr">
        <is>
          <t>Área de la varilla superior</t>
        </is>
      </c>
      <c r="C36" s="22" t="inlineStr">
        <is>
          <t>Ab</t>
        </is>
      </c>
      <c r="D36" s="34">
        <f>INDEX(BAR_AS,MATCH($D$18,BAR_NOM,0))</f>
        <v/>
      </c>
      <c r="E36" s="24" t="inlineStr">
        <is>
          <t>cm²</t>
        </is>
      </c>
    </row>
    <row r="37" ht="13.5" customHeight="1">
      <c r="B37" s="9" t="inlineStr">
        <is>
          <t>Diámetro inferior</t>
        </is>
      </c>
      <c r="C37" s="22" t="inlineStr">
        <is>
          <t>db</t>
        </is>
      </c>
      <c r="D37" s="39">
        <f>INDEX(BAR_DB,MATCH($D$19,BAR_NOM,0))</f>
        <v/>
      </c>
      <c r="E37" s="24" t="inlineStr">
        <is>
          <t>cm</t>
        </is>
      </c>
    </row>
    <row r="38" ht="13.5" customHeight="1">
      <c r="B38" s="9" t="inlineStr">
        <is>
          <t>Área de la varilla inferior</t>
        </is>
      </c>
      <c r="C38" s="22" t="inlineStr">
        <is>
          <t>Ab</t>
        </is>
      </c>
      <c r="D38" s="34">
        <f>INDEX(BAR_AS,MATCH($D$19,BAR_NOM,0))</f>
        <v/>
      </c>
      <c r="E38" s="24" t="inlineStr">
        <is>
          <t>cm²</t>
        </is>
      </c>
    </row>
    <row r="39" ht="13.5" customHeight="1">
      <c r="B39" s="9" t="inlineStr">
        <is>
          <t>Diámetro del estribo</t>
        </is>
      </c>
      <c r="C39" s="22" t="inlineStr">
        <is>
          <t>dbe</t>
        </is>
      </c>
      <c r="D39" s="39">
        <f>INDEX(BAR_DB,MATCH($D$20,BAR_NOM,0))</f>
        <v/>
      </c>
      <c r="E39" s="24" t="inlineStr">
        <is>
          <t>cm</t>
        </is>
      </c>
    </row>
    <row r="40" ht="13.5" customHeight="1">
      <c r="B40" s="9" t="inlineStr">
        <is>
          <t>Área del estribo</t>
        </is>
      </c>
      <c r="C40" s="22" t="inlineStr">
        <is>
          <t>Abe</t>
        </is>
      </c>
      <c r="D40" s="34">
        <f>INDEX(BAR_AS,MATCH($D$20,BAR_NOM,0))</f>
        <v/>
      </c>
      <c r="E40" s="24" t="inlineStr">
        <is>
          <t>cm²</t>
        </is>
      </c>
    </row>
    <row r="41" ht="13.5" customHeight="1">
      <c r="B41" s="9" t="inlineStr">
        <is>
          <t>Factor β1</t>
        </is>
      </c>
      <c r="C41" s="22" t="inlineStr">
        <is>
          <t>β1</t>
        </is>
      </c>
      <c r="D41" s="39">
        <f>IF($D$11&lt;=280,0.85,MAX(0.65,0.85-0.05*($D$11-280)/70))</f>
        <v/>
      </c>
      <c r="E41" s="24" t="inlineStr"/>
    </row>
    <row r="42" ht="13.5" customHeight="1">
      <c r="B42" s="9" t="inlineStr">
        <is>
          <t>Cuantía balanceada</t>
        </is>
      </c>
      <c r="C42" s="22" t="inlineStr">
        <is>
          <t>ρb</t>
        </is>
      </c>
      <c r="D42" s="40">
        <f>0.85*$D$41*$D$11/$D$12*6000/(6000+$D$12)</f>
        <v/>
      </c>
      <c r="E42" s="24" t="inlineStr"/>
    </row>
    <row r="43" ht="13.5" customHeight="1">
      <c r="B43" s="9" t="inlineStr">
        <is>
          <t>As mínimo 0.7·√f'c/fy·b·d</t>
        </is>
      </c>
      <c r="C43" s="22" t="inlineStr">
        <is>
          <t>Asmín</t>
        </is>
      </c>
      <c r="D43" s="34">
        <f>0.7*SQRT($D$11)/$D$12*$D$14*$D$34</f>
        <v/>
      </c>
      <c r="E43" s="24" t="inlineStr">
        <is>
          <t>cm²</t>
        </is>
      </c>
      <c r="F43" s="27" t="inlineStr">
        <is>
          <t>E.060 10.5.2</t>
        </is>
      </c>
    </row>
    <row r="44" ht="24" customHeight="1">
      <c r="B44" s="9" t="inlineStr">
        <is>
          <t>As máximo (simplemente armada)</t>
        </is>
      </c>
      <c r="C44" s="22" t="inlineStr">
        <is>
          <t>Asmáx</t>
        </is>
      </c>
      <c r="D44" s="34">
        <f>IF($D$13="Pórticos o dual tipo II",MIN(0.75*$D$42,0.025),0.75*$D$42)*$D$14*$D$34</f>
        <v/>
      </c>
      <c r="E44" s="24" t="inlineStr">
        <is>
          <t>cm²</t>
        </is>
      </c>
      <c r="F44" s="27" t="inlineStr">
        <is>
          <t>0.75·ρb (10.3.4); pórticos además ρ ≤ 0.025 (21.5.2.1)</t>
        </is>
      </c>
    </row>
    <row r="45" ht="13.5" customHeight="1">
      <c r="B45" s="9" t="inlineStr">
        <is>
          <t>Bloque con As máximo</t>
        </is>
      </c>
      <c r="C45" s="22" t="inlineStr">
        <is>
          <t>a</t>
        </is>
      </c>
      <c r="D45" s="34">
        <f>$D$44*$D$12/(0.85*$D$11*$D$14)</f>
        <v/>
      </c>
      <c r="E45" s="24" t="inlineStr">
        <is>
          <t>cm</t>
        </is>
      </c>
    </row>
    <row r="46" ht="13.5" customHeight="1">
      <c r="B46" s="9" t="inlineStr">
        <is>
          <t>φMn máximo simplemente armada</t>
        </is>
      </c>
      <c r="C46" s="22" t="inlineStr">
        <is>
          <t>φMn1</t>
        </is>
      </c>
      <c r="D46" s="34">
        <f>0.9*$D$44*$D$12*($D$34-$D$45/2)/100000</f>
        <v/>
      </c>
      <c r="E46" s="24" t="inlineStr">
        <is>
          <t>t·m</t>
        </is>
      </c>
    </row>
    <row r="47" ht="13.5" customHeight="1">
      <c r="B47" s="9" t="inlineStr">
        <is>
          <t>Relación M+ ≥ k·M− en la cara</t>
        </is>
      </c>
      <c r="C47" s="22" t="inlineStr">
        <is>
          <t>k</t>
        </is>
      </c>
      <c r="D47" s="39">
        <f>IF($D$13="Pórticos o dual tipo II",0.5,1/3)</f>
        <v/>
      </c>
      <c r="E47" s="24" t="inlineStr"/>
      <c r="F47" s="27" t="inlineStr">
        <is>
          <t>1/2 pórticos (21.5.2.2) · 1/3 muros (21.4.4.3)</t>
        </is>
      </c>
    </row>
    <row r="49" ht="17" customHeight="1">
      <c r="B49" s="21" t="inlineStr">
        <is>
          <t>3. DISEÑO POR FLEXIÓN (φ = 0.90)</t>
        </is>
      </c>
    </row>
    <row r="50" ht="24" customHeight="1">
      <c r="B50" s="41" t="inlineStr">
        <is>
          <t>Sección</t>
        </is>
      </c>
      <c r="C50" s="42" t="inlineStr">
        <is>
          <t>Izq (−)</t>
        </is>
      </c>
      <c r="D50" s="42" t="inlineStr">
        <is>
          <t>Izq (+)</t>
        </is>
      </c>
      <c r="E50" s="42" t="inlineStr">
        <is>
          <t>Centro (−)</t>
        </is>
      </c>
      <c r="F50" s="42" t="inlineStr">
        <is>
          <t>Centro (+)</t>
        </is>
      </c>
      <c r="G50" s="42" t="inlineStr">
        <is>
          <t>Der (−)</t>
        </is>
      </c>
      <c r="H50" s="42" t="inlineStr">
        <is>
          <t>Der (+)</t>
        </is>
      </c>
    </row>
    <row r="51" ht="24" customHeight="1">
      <c r="B51" s="38" t="inlineStr">
        <is>
          <t>As por flexión (con doble armadura si hace falta) (cm²)</t>
        </is>
      </c>
      <c r="C51" s="34">
        <f>IF($C$29&lt;=$D$46,0.85*$D$11*$D$14*$D$34/$D$12*(1-SQRT(MAX(0,1-2*$C$29*100000/(0.9*0.85*$D$11*$D$14*$D$34^2)))),$D$44+($C$29-$D$46)*100000/(0.9*$D$12*($D$34-$D$16)))</f>
        <v/>
      </c>
      <c r="D51" s="34">
        <f>IF($D$29&lt;=$D$46,0.85*$D$11*$D$14*$D$34/$D$12*(1-SQRT(MAX(0,1-2*$D$29*100000/(0.9*0.85*$D$11*$D$14*$D$34^2)))),$D$44+($D$29-$D$46)*100000/(0.9*$D$12*($D$34-$D$16)))</f>
        <v/>
      </c>
      <c r="E51" s="34">
        <f>IF($E$29&lt;=$D$46,0.85*$D$11*$D$14*$D$34/$D$12*(1-SQRT(MAX(0,1-2*$E$29*100000/(0.9*0.85*$D$11*$D$14*$D$34^2)))),$D$44+($E$29-$D$46)*100000/(0.9*$D$12*($D$34-$D$16)))</f>
        <v/>
      </c>
      <c r="F51" s="34">
        <f>IF($F$29&lt;=$D$46,0.85*$D$11*$D$14*$D$34/$D$12*(1-SQRT(MAX(0,1-2*$F$29*100000/(0.9*0.85*$D$11*$D$14*$D$34^2)))),$D$44+($F$29-$D$46)*100000/(0.9*$D$12*($D$34-$D$16)))</f>
        <v/>
      </c>
      <c r="G51" s="34">
        <f>IF($G$29&lt;=$D$46,0.85*$D$11*$D$14*$D$34/$D$12*(1-SQRT(MAX(0,1-2*$G$29*100000/(0.9*0.85*$D$11*$D$14*$D$34^2)))),$D$44+($G$29-$D$46)*100000/(0.9*$D$12*($D$34-$D$16)))</f>
        <v/>
      </c>
      <c r="H51" s="34">
        <f>IF($H$29&lt;=$D$46,0.85*$D$11*$D$14*$D$34/$D$12*(1-SQRT(MAX(0,1-2*$H$29*100000/(0.9*0.85*$D$11*$D$14*$D$34^2)))),$D$44+($H$29-$D$46)*100000/(0.9*$D$12*($D$34-$D$16)))</f>
        <v/>
      </c>
    </row>
    <row r="52" ht="13.5" customHeight="1">
      <c r="B52" s="38" t="inlineStr">
        <is>
          <t>A's requerido en compresión (cm²)</t>
        </is>
      </c>
      <c r="C52" s="34">
        <f>IF($C$29&gt;$D$46,($C$29-$D$46)*100000/(0.9*$D$12*($D$34-$D$16)),0)</f>
        <v/>
      </c>
      <c r="D52" s="34">
        <f>IF($D$29&gt;$D$46,($D$29-$D$46)*100000/(0.9*$D$12*($D$34-$D$16)),0)</f>
        <v/>
      </c>
      <c r="E52" s="34">
        <f>IF($E$29&gt;$D$46,($E$29-$D$46)*100000/(0.9*$D$12*($D$34-$D$16)),0)</f>
        <v/>
      </c>
      <c r="F52" s="34">
        <f>IF($F$29&gt;$D$46,($F$29-$D$46)*100000/(0.9*$D$12*($D$34-$D$16)),0)</f>
        <v/>
      </c>
      <c r="G52" s="34">
        <f>IF($G$29&gt;$D$46,($G$29-$D$46)*100000/(0.9*$D$12*($D$34-$D$16)),0)</f>
        <v/>
      </c>
      <c r="H52" s="34">
        <f>IF($H$29&gt;$D$46,($H$29-$D$46)*100000/(0.9*$D$12*($D$34-$D$16)),0)</f>
        <v/>
      </c>
    </row>
    <row r="53" ht="24" customHeight="1">
      <c r="B53" s="38" t="inlineStr">
        <is>
          <t>Mínimo sísmico (¼ máx. y M+ ≥ k·M− en la cara) (cm²)</t>
        </is>
      </c>
      <c r="C53" s="34">
        <f>0.25*MAX($C$51,$D$51,$G$51,$H$51)</f>
        <v/>
      </c>
      <c r="D53" s="34">
        <f>MAX(0.25*MAX($C$51,$D$51,$G$51,$H$51),$D$47*C55*$D$36)</f>
        <v/>
      </c>
      <c r="E53" s="34">
        <f>0.25*MAX(C56,D56,G56,H56)</f>
        <v/>
      </c>
      <c r="F53" s="34">
        <f>0.25*MAX(C56,D56,G56,H56)</f>
        <v/>
      </c>
      <c r="G53" s="34">
        <f>0.25*MAX($C$51,$D$51,$G$51,$H$51)</f>
        <v/>
      </c>
      <c r="H53" s="34">
        <f>MAX(0.25*MAX($C$51,$D$51,$G$51,$H$51),$D$47*G55*$D$36)</f>
        <v/>
      </c>
    </row>
    <row r="54" ht="24" customHeight="1">
      <c r="B54" s="38" t="inlineStr">
        <is>
          <t>As de diseño = máx(flexión, mínimo, sísmico) (cm²)</t>
        </is>
      </c>
      <c r="C54" s="34">
        <f>MAX($C$51,$D$43,$C$53)</f>
        <v/>
      </c>
      <c r="D54" s="34">
        <f>MAX($D$51,$D$43,$D$53)</f>
        <v/>
      </c>
      <c r="E54" s="34">
        <f>MAX($E$51,$D$43,$E$53)</f>
        <v/>
      </c>
      <c r="F54" s="34">
        <f>MAX($F$51,$D$43,$F$53)</f>
        <v/>
      </c>
      <c r="G54" s="34">
        <f>MAX($G$51,$D$43,$G$53)</f>
        <v/>
      </c>
      <c r="H54" s="34">
        <f>MAX($H$51,$D$43,$H$53)</f>
        <v/>
      </c>
    </row>
    <row r="55" ht="13.5" customHeight="1">
      <c r="B55" s="38" t="inlineStr">
        <is>
          <t>Número de varillas</t>
        </is>
      </c>
      <c r="C55" s="28">
        <f>IF(N($C$30)&gt;0,$C$30,MAX(2,CEILING($C$54/$D$36,1)))</f>
        <v/>
      </c>
      <c r="D55" s="28">
        <f>IF(N($D$30)&gt;0,$D$30,MAX(2,CEILING($D$54/$D$38,1)))</f>
        <v/>
      </c>
      <c r="E55" s="28">
        <f>IF(N($E$30)&gt;0,$E$30,MAX(2,CEILING($E$54/$D$36,1)))</f>
        <v/>
      </c>
      <c r="F55" s="28">
        <f>IF(N($F$30)&gt;0,$F$30,MAX(2,CEILING($F$54/$D$38,1)))</f>
        <v/>
      </c>
      <c r="G55" s="28">
        <f>IF(N($G$30)&gt;0,$G$30,MAX(2,CEILING($G$54/$D$36,1)))</f>
        <v/>
      </c>
      <c r="H55" s="28">
        <f>IF(N($H$30)&gt;0,$H$30,MAX(2,CEILING($H$54/$D$38,1)))</f>
        <v/>
      </c>
    </row>
    <row r="56" ht="13.5" customHeight="1">
      <c r="B56" s="38" t="inlineStr">
        <is>
          <t>As colocado (cm²)</t>
        </is>
      </c>
      <c r="C56" s="34">
        <f>$C$55*$D$36</f>
        <v/>
      </c>
      <c r="D56" s="34">
        <f>$D$55*$D$38</f>
        <v/>
      </c>
      <c r="E56" s="34">
        <f>$E$55*$D$36</f>
        <v/>
      </c>
      <c r="F56" s="34">
        <f>$F$55*$D$38</f>
        <v/>
      </c>
      <c r="G56" s="34">
        <f>$G$55*$D$36</f>
        <v/>
      </c>
      <c r="H56" s="34">
        <f>$H$55*$D$38</f>
        <v/>
      </c>
    </row>
    <row r="57" ht="13.5" customHeight="1">
      <c r="B57" s="38" t="inlineStr">
        <is>
          <t>A's que trabaja en compresión (cm²)</t>
        </is>
      </c>
      <c r="C57" s="34">
        <f>IF($C$52&gt;0,MIN($D$56,$C$56),0)</f>
        <v/>
      </c>
      <c r="D57" s="34">
        <f>IF($D$52&gt;0,MIN($C$56,$D$56),0)</f>
        <v/>
      </c>
      <c r="E57" s="34">
        <f>IF($E$52&gt;0,MIN($F$56,$E$56),0)</f>
        <v/>
      </c>
      <c r="F57" s="34">
        <f>IF($F$52&gt;0,MIN($E$56,$F$56),0)</f>
        <v/>
      </c>
      <c r="G57" s="34">
        <f>IF($G$52&gt;0,MIN($H$56,$G$56),0)</f>
        <v/>
      </c>
      <c r="H57" s="34">
        <f>IF($H$52&gt;0,MIN($G$56,$H$56),0)</f>
        <v/>
      </c>
    </row>
    <row r="58" ht="13.5" customHeight="1">
      <c r="B58" s="38" t="inlineStr">
        <is>
          <t>Varillas que entran en una capa</t>
        </is>
      </c>
      <c r="C58" s="28">
        <f>FLOOR(($D$14-2*(4+$D$39)+MAX(2.5,$D$35))/($D$35+MAX(2.5,$D$35)),1)</f>
        <v/>
      </c>
      <c r="D58" s="28">
        <f>FLOOR(($D$14-2*(4+$D$39)+MAX(2.5,$D$37))/($D$37+MAX(2.5,$D$37)),1)</f>
        <v/>
      </c>
      <c r="E58" s="28">
        <f>FLOOR(($D$14-2*(4+$D$39)+MAX(2.5,$D$35))/($D$35+MAX(2.5,$D$35)),1)</f>
        <v/>
      </c>
      <c r="F58" s="28">
        <f>FLOOR(($D$14-2*(4+$D$39)+MAX(2.5,$D$37))/($D$37+MAX(2.5,$D$37)),1)</f>
        <v/>
      </c>
      <c r="G58" s="28">
        <f>FLOOR(($D$14-2*(4+$D$39)+MAX(2.5,$D$35))/($D$35+MAX(2.5,$D$35)),1)</f>
        <v/>
      </c>
      <c r="H58" s="28">
        <f>FLOOR(($D$14-2*(4+$D$39)+MAX(2.5,$D$37))/($D$37+MAX(2.5,$D$37)),1)</f>
        <v/>
      </c>
    </row>
    <row r="59" ht="13.5" customHeight="1">
      <c r="B59" s="38" t="inlineStr">
        <is>
          <t>Peralte efectivo con 1 o 2 capas (cm)</t>
        </is>
      </c>
      <c r="C59" s="34">
        <f>$D$34-IF($C$55&gt;$C$58,($D$35+MAX(2.5,$D$35))*($C$55-$C$58)/$C$55,0)</f>
        <v/>
      </c>
      <c r="D59" s="34">
        <f>$D$34-IF($D$55&gt;$D$58,($D$37+MAX(2.5,$D$37))*($D$55-$D$58)/$D$55,0)</f>
        <v/>
      </c>
      <c r="E59" s="34">
        <f>$D$34-IF($E$55&gt;$E$58,($D$35+MAX(2.5,$D$35))*($E$55-$E$58)/$E$55,0)</f>
        <v/>
      </c>
      <c r="F59" s="34">
        <f>$D$34-IF($F$55&gt;$F$58,($D$37+MAX(2.5,$D$37))*($F$55-$F$58)/$F$55,0)</f>
        <v/>
      </c>
      <c r="G59" s="34">
        <f>$D$34-IF($G$55&gt;$G$58,($D$35+MAX(2.5,$D$35))*($G$55-$G$58)/$G$55,0)</f>
        <v/>
      </c>
      <c r="H59" s="34">
        <f>$D$34-IF($H$55&gt;$H$58,($D$37+MAX(2.5,$D$37))*($H$55-$H$58)/$H$55,0)</f>
        <v/>
      </c>
    </row>
    <row r="60" ht="24" customHeight="1">
      <c r="B60" s="38" t="inlineStr">
        <is>
          <t>Eje neutro c (compatibilidad, f's real) (cm)</t>
        </is>
      </c>
      <c r="C60" s="34">
        <f>IF($C$57=0,$C$56*$D$12/(0.85*$D$11*$D$14*$D$41),IF(6000*(1-$D$16*0.85*$D$11*$D$14*$D$41/(($C$56-$C$57)*$D$12))&gt;=$D$12,($C$56-$C$57)*$D$12/(0.85*$D$11*$D$14*$D$41),(-(6000*$C$57-$C$56*$D$12)+SQRT((6000*$C$57-$C$56*$D$12)^2+4*0.85*$D$11*$D$14*$D$41*6000*$C$57*$D$16))/(2*0.85*$D$11*$D$14*$D$41)))</f>
        <v/>
      </c>
      <c r="D60" s="34">
        <f>IF($D$57=0,$D$56*$D$12/(0.85*$D$11*$D$14*$D$41),IF(6000*(1-$D$16*0.85*$D$11*$D$14*$D$41/(($D$56-$D$57)*$D$12))&gt;=$D$12,($D$56-$D$57)*$D$12/(0.85*$D$11*$D$14*$D$41),(-(6000*$D$57-$D$56*$D$12)+SQRT((6000*$D$57-$D$56*$D$12)^2+4*0.85*$D$11*$D$14*$D$41*6000*$D$57*$D$16))/(2*0.85*$D$11*$D$14*$D$41)))</f>
        <v/>
      </c>
      <c r="E60" s="34">
        <f>IF($E$57=0,$E$56*$D$12/(0.85*$D$11*$D$14*$D$41),IF(6000*(1-$D$16*0.85*$D$11*$D$14*$D$41/(($E$56-$E$57)*$D$12))&gt;=$D$12,($E$56-$E$57)*$D$12/(0.85*$D$11*$D$14*$D$41),(-(6000*$E$57-$E$56*$D$12)+SQRT((6000*$E$57-$E$56*$D$12)^2+4*0.85*$D$11*$D$14*$D$41*6000*$E$57*$D$16))/(2*0.85*$D$11*$D$14*$D$41)))</f>
        <v/>
      </c>
      <c r="F60" s="34">
        <f>IF($F$57=0,$F$56*$D$12/(0.85*$D$11*$D$14*$D$41),IF(6000*(1-$D$16*0.85*$D$11*$D$14*$D$41/(($F$56-$F$57)*$D$12))&gt;=$D$12,($F$56-$F$57)*$D$12/(0.85*$D$11*$D$14*$D$41),(-(6000*$F$57-$F$56*$D$12)+SQRT((6000*$F$57-$F$56*$D$12)^2+4*0.85*$D$11*$D$14*$D$41*6000*$F$57*$D$16))/(2*0.85*$D$11*$D$14*$D$41)))</f>
        <v/>
      </c>
      <c r="G60" s="34">
        <f>IF($G$57=0,$G$56*$D$12/(0.85*$D$11*$D$14*$D$41),IF(6000*(1-$D$16*0.85*$D$11*$D$14*$D$41/(($G$56-$G$57)*$D$12))&gt;=$D$12,($G$56-$G$57)*$D$12/(0.85*$D$11*$D$14*$D$41),(-(6000*$G$57-$G$56*$D$12)+SQRT((6000*$G$57-$G$56*$D$12)^2+4*0.85*$D$11*$D$14*$D$41*6000*$G$57*$D$16))/(2*0.85*$D$11*$D$14*$D$41)))</f>
        <v/>
      </c>
      <c r="H60" s="34">
        <f>IF($H$57=0,$H$56*$D$12/(0.85*$D$11*$D$14*$D$41),IF(6000*(1-$D$16*0.85*$D$11*$D$14*$D$41/(($H$56-$H$57)*$D$12))&gt;=$D$12,($H$56-$H$57)*$D$12/(0.85*$D$11*$D$14*$D$41),(-(6000*$H$57-$H$56*$D$12)+SQRT((6000*$H$57-$H$56*$D$12)^2+4*0.85*$D$11*$D$14*$D$41*6000*$H$57*$D$16))/(2*0.85*$D$11*$D$14*$D$41)))</f>
        <v/>
      </c>
    </row>
    <row r="61" ht="24" customHeight="1">
      <c r="B61" s="38" t="inlineStr">
        <is>
          <t>Esfuerzo en el acero en compresión f's (kgf/cm²)</t>
        </is>
      </c>
      <c r="C61" s="28">
        <f>IF($C$57=0,0,MAX(-$D$12,MIN($D$12,6000*($C$60-$D$16)/$C$60)))</f>
        <v/>
      </c>
      <c r="D61" s="28">
        <f>IF($D$57=0,0,MAX(-$D$12,MIN($D$12,6000*($D$60-$D$16)/$D$60)))</f>
        <v/>
      </c>
      <c r="E61" s="28">
        <f>IF($E$57=0,0,MAX(-$D$12,MIN($D$12,6000*($E$60-$D$16)/$E$60)))</f>
        <v/>
      </c>
      <c r="F61" s="28">
        <f>IF($F$57=0,0,MAX(-$D$12,MIN($D$12,6000*($F$60-$D$16)/$F$60)))</f>
        <v/>
      </c>
      <c r="G61" s="28">
        <f>IF($G$57=0,0,MAX(-$D$12,MIN($D$12,6000*($G$60-$D$16)/$G$60)))</f>
        <v/>
      </c>
      <c r="H61" s="28">
        <f>IF($H$57=0,0,MAX(-$D$12,MIN($D$12,6000*($H$60-$D$16)/$H$60)))</f>
        <v/>
      </c>
    </row>
    <row r="62" ht="13.5" customHeight="1">
      <c r="B62" s="38" t="inlineStr">
        <is>
          <t>Profundidad del bloque a = β1·c (cm)</t>
        </is>
      </c>
      <c r="C62" s="34">
        <f>$D$41*$C$60</f>
        <v/>
      </c>
      <c r="D62" s="34">
        <f>$D$41*$D$60</f>
        <v/>
      </c>
      <c r="E62" s="34">
        <f>$D$41*$E$60</f>
        <v/>
      </c>
      <c r="F62" s="34">
        <f>$D$41*$F$60</f>
        <v/>
      </c>
      <c r="G62" s="34">
        <f>$D$41*$G$60</f>
        <v/>
      </c>
      <c r="H62" s="34">
        <f>$D$41*$H$60</f>
        <v/>
      </c>
    </row>
    <row r="63" ht="13.5" customHeight="1">
      <c r="B63" s="38" t="inlineStr">
        <is>
          <t>φMn colocado (t·m)</t>
        </is>
      </c>
      <c r="C63" s="34">
        <f>0.9*(0.85*$D$11*$C$62*$D$14*($C$59-$C$62/2)+$C$57*$C$61*($C$59-$D$16))/100000</f>
        <v/>
      </c>
      <c r="D63" s="34">
        <f>0.9*(0.85*$D$11*$D$62*$D$14*($D$59-$D$62/2)+$D$57*$D$61*($D$59-$D$16))/100000</f>
        <v/>
      </c>
      <c r="E63" s="34">
        <f>0.9*(0.85*$D$11*$E$62*$D$14*($E$59-$E$62/2)+$E$57*$E$61*($E$59-$D$16))/100000</f>
        <v/>
      </c>
      <c r="F63" s="34">
        <f>0.9*(0.85*$D$11*$F$62*$D$14*($F$59-$F$62/2)+$F$57*$F$61*($F$59-$D$16))/100000</f>
        <v/>
      </c>
      <c r="G63" s="34">
        <f>0.9*(0.85*$D$11*$G$62*$D$14*($G$59-$G$62/2)+$G$57*$G$61*($G$59-$D$16))/100000</f>
        <v/>
      </c>
      <c r="H63" s="34">
        <f>0.9*(0.85*$D$11*$H$62*$D$14*($H$59-$H$62/2)+$H$57*$H$61*($H$59-$D$16))/100000</f>
        <v/>
      </c>
    </row>
    <row r="64" ht="13.5" customHeight="1">
      <c r="B64" s="38" t="inlineStr">
        <is>
          <t>Control (φMn ≥ Mu, ρ ≤ máx, capas)</t>
        </is>
      </c>
      <c r="C64" s="43">
        <f>IF($C$63&lt;$C$29-0.0001,"NO CUMPLE",IF($C$56-$C$57*$C$61/$D$12&gt;$D$44+0.0001,"NO CUMPLE: ρ máx",IF(AND($D$13="Pórticos o dual tipo II",$C$56&gt;0.025*$D$14*$D$34),"NO CUMPLE: ρ &gt; 0.025",IF(OR($C$55&lt;2,$C$56&lt;MAX($D$43,$C$53)-0.0001),"NO CUMPLE: As &lt; mín",IF($C$55&gt;2*$C$58,"NO CUMPLE: &gt; 2 capas","CUMPLE")))))</f>
        <v/>
      </c>
      <c r="D64" s="43">
        <f>IF($D$63&lt;$D$29-0.0001,"NO CUMPLE",IF($D$56-$D$57*$D$61/$D$12&gt;$D$44+0.0001,"NO CUMPLE: ρ máx",IF(AND($D$13="Pórticos o dual tipo II",$D$56&gt;0.025*$D$14*$D$34),"NO CUMPLE: ρ &gt; 0.025",IF(OR($D$55&lt;2,$D$56&lt;MAX($D$43,$D$53)-0.0001),"NO CUMPLE: As &lt; mín",IF($D$55&gt;2*$D$58,"NO CUMPLE: &gt; 2 capas","CUMPLE")))))</f>
        <v/>
      </c>
      <c r="E64" s="43">
        <f>IF($E$63&lt;$E$29-0.0001,"NO CUMPLE",IF($E$56-$E$57*$E$61/$D$12&gt;$D$44+0.0001,"NO CUMPLE: ρ máx",IF(AND($D$13="Pórticos o dual tipo II",$E$56&gt;0.025*$D$14*$D$34),"NO CUMPLE: ρ &gt; 0.025",IF(OR($E$55&lt;2,$E$56&lt;MAX($D$43,$E$53)-0.0001),"NO CUMPLE: As &lt; mín",IF($E$55&gt;2*$E$58,"NO CUMPLE: &gt; 2 capas","CUMPLE")))))</f>
        <v/>
      </c>
      <c r="F64" s="43">
        <f>IF($F$63&lt;$F$29-0.0001,"NO CUMPLE",IF($F$56-$F$57*$F$61/$D$12&gt;$D$44+0.0001,"NO CUMPLE: ρ máx",IF(AND($D$13="Pórticos o dual tipo II",$F$56&gt;0.025*$D$14*$D$34),"NO CUMPLE: ρ &gt; 0.025",IF(OR($F$55&lt;2,$F$56&lt;MAX($D$43,$F$53)-0.0001),"NO CUMPLE: As &lt; mín",IF($F$55&gt;2*$F$58,"NO CUMPLE: &gt; 2 capas","CUMPLE")))))</f>
        <v/>
      </c>
      <c r="G64" s="43">
        <f>IF($G$63&lt;$G$29-0.0001,"NO CUMPLE",IF($G$56-$G$57*$G$61/$D$12&gt;$D$44+0.0001,"NO CUMPLE: ρ máx",IF(AND($D$13="Pórticos o dual tipo II",$G$56&gt;0.025*$D$14*$D$34),"NO CUMPLE: ρ &gt; 0.025",IF(OR($G$55&lt;2,$G$56&lt;MAX($D$43,$G$53)-0.0001),"NO CUMPLE: As &lt; mín",IF($G$55&gt;2*$G$58,"NO CUMPLE: &gt; 2 capas","CUMPLE")))))</f>
        <v/>
      </c>
      <c r="H64" s="43">
        <f>IF($H$63&lt;$H$29-0.0001,"NO CUMPLE",IF($H$56-$H$57*$H$61/$D$12&gt;$D$44+0.0001,"NO CUMPLE: ρ máx",IF(AND($D$13="Pórticos o dual tipo II",$H$56&gt;0.025*$D$14*$D$34),"NO CUMPLE: ρ &gt; 0.025",IF(OR($H$55&lt;2,$H$56&lt;MAX($D$43,$H$53)-0.0001),"NO CUMPLE: As &lt; mín",IF($H$55&gt;2*$H$58,"NO CUMPLE: &gt; 2 capas","CUMPLE")))))</f>
        <v/>
      </c>
    </row>
    <row r="65" ht="13.5" customHeight="1">
      <c r="B65" s="38" t="inlineStr">
        <is>
          <t>ARMADURA</t>
        </is>
      </c>
      <c r="C65" s="43">
        <f>$C$55&amp;" Ø "&amp;$D$18&amp;IF($C$55&gt;$C$58," (2 capas)","")</f>
        <v/>
      </c>
      <c r="D65" s="43">
        <f>$D$55&amp;" Ø "&amp;$D$19&amp;IF($D$55&gt;$D$58," (2 capas)","")</f>
        <v/>
      </c>
      <c r="E65" s="43">
        <f>$E$55&amp;" Ø "&amp;$D$18&amp;IF($E$55&gt;$E$58," (2 capas)","")</f>
        <v/>
      </c>
      <c r="F65" s="43">
        <f>$F$55&amp;" Ø "&amp;$D$19&amp;IF($F$55&gt;$F$58," (2 capas)","")</f>
        <v/>
      </c>
      <c r="G65" s="43">
        <f>$G$55&amp;" Ø "&amp;$D$18&amp;IF($G$55&gt;$G$58," (2 capas)","")</f>
        <v/>
      </c>
      <c r="H65" s="43">
        <f>$H$55&amp;" Ø "&amp;$D$19&amp;IF($H$55&gt;$H$58," (2 capas)","")</f>
        <v/>
      </c>
    </row>
    <row r="66">
      <c r="B66" s="27" t="inlineStr">
        <is>
          <t>Con dos capas se reduce d automáticamente (separación libre entre capas = máx(db, 2.5 cm)). φMn usa f's real del acero en compresión.</t>
        </is>
      </c>
    </row>
    <row r="68" ht="17" customHeight="1">
      <c r="B68" s="21" t="inlineStr">
        <is>
          <t>4. CORTANTE POR CAPACIDAD (E.060 21.4.3 / 21.5.4)</t>
        </is>
      </c>
    </row>
    <row r="69" ht="24" customHeight="1">
      <c r="B69" s="9" t="inlineStr">
        <is>
          <t>Factor de momento probable</t>
        </is>
      </c>
      <c r="C69" s="22" t="inlineStr">
        <is>
          <t>k</t>
        </is>
      </c>
      <c r="D69" s="34">
        <f>IF($D$13="Pórticos o dual tipo II",1.25,1.0)</f>
        <v/>
      </c>
      <c r="E69" s="24" t="inlineStr"/>
      <c r="F69" s="27" t="inlineStr">
        <is>
          <t>Pórticos: Mpr = 1.25·Mn (21.5.4.1) · Muros: Mn (21.4.3)</t>
        </is>
      </c>
    </row>
    <row r="70" ht="13.5" customHeight="1">
      <c r="B70" s="9" t="inlineStr">
        <is>
          <t>Cortante isostático 1.25(wD + wL)·ln/2</t>
        </is>
      </c>
      <c r="C70" s="22" t="inlineStr">
        <is>
          <t>Vg</t>
        </is>
      </c>
      <c r="D70" s="34">
        <f>1.25*($D$23+$D$24)*$D$17/2</f>
        <v/>
      </c>
      <c r="E70" s="24" t="inlineStr">
        <is>
          <t>t</t>
        </is>
      </c>
      <c r="F70" s="27" t="inlineStr">
        <is>
          <t>Cargas de gravedad tributarias amplificadas</t>
        </is>
      </c>
    </row>
    <row r="71" ht="13.5" customHeight="1">
      <c r="B71" s="9" t="inlineStr">
        <is>
          <t>Sismo horario: (Mn izq− + Mn der+)/ln</t>
        </is>
      </c>
      <c r="C71" s="22" t="inlineStr"/>
      <c r="D71" s="34">
        <f>$D$69*($C$63+$H$63)/0.9/$D$17</f>
        <v/>
      </c>
      <c r="E71" s="24" t="inlineStr">
        <is>
          <t>t</t>
        </is>
      </c>
    </row>
    <row r="72" ht="13.5" customHeight="1">
      <c r="B72" s="9" t="inlineStr">
        <is>
          <t>Sismo antihorario: (Mn izq+ + Mn der−)/ln</t>
        </is>
      </c>
      <c r="C72" s="22" t="inlineStr"/>
      <c r="D72" s="34">
        <f>$D$69*($D$63+$G$63)/0.9/$D$17</f>
        <v/>
      </c>
      <c r="E72" s="24" t="inlineStr">
        <is>
          <t>t</t>
        </is>
      </c>
    </row>
    <row r="73" ht="13.5" customHeight="1">
      <c r="B73" s="9" t="inlineStr">
        <is>
          <t>Cortante por capacidad Vg + máx</t>
        </is>
      </c>
      <c r="C73" s="22" t="inlineStr">
        <is>
          <t>Vcap</t>
        </is>
      </c>
      <c r="D73" s="34">
        <f>$D$70+MAX($D$71,$D$72)</f>
        <v/>
      </c>
      <c r="E73" s="24" t="inlineStr">
        <is>
          <t>t</t>
        </is>
      </c>
    </row>
    <row r="74" ht="13.5" customHeight="1">
      <c r="B74" s="9" t="inlineStr">
        <is>
          <t>Alternativa (b): Vg + 2.5·VS</t>
        </is>
      </c>
      <c r="C74" s="22" t="inlineStr">
        <is>
          <t>Vb</t>
        </is>
      </c>
      <c r="D74" s="34">
        <f>$D$70+2.5*$D$26</f>
        <v/>
      </c>
      <c r="E74" s="24" t="inlineStr">
        <is>
          <t>t</t>
        </is>
      </c>
      <c r="F74" s="27" t="inlineStr">
        <is>
          <t>Solo muros / dual tipo I (21.4.3b)</t>
        </is>
      </c>
    </row>
    <row r="75" ht="13.5" customHeight="1">
      <c r="B75" s="9" t="inlineStr">
        <is>
          <t>CORTANTE DE DISEÑO Vu</t>
        </is>
      </c>
      <c r="C75" s="22" t="inlineStr">
        <is>
          <t>Vu</t>
        </is>
      </c>
      <c r="D75" s="34">
        <f>IF($D$13="Pórticos o dual tipo II",MAX($D$25,$D$73),MAX($D$25,MIN($D$73,$D$74)))</f>
        <v/>
      </c>
      <c r="E75" s="24" t="inlineStr">
        <is>
          <t>t</t>
        </is>
      </c>
      <c r="F75" s="27" t="inlineStr">
        <is>
          <t>Nunca menor que el del análisis</t>
        </is>
      </c>
    </row>
    <row r="76" ht="13.5" customHeight="1">
      <c r="B76" s="9" t="inlineStr">
        <is>
          <t>Vc = 0.53·√f'c·b·d</t>
        </is>
      </c>
      <c r="C76" s="22" t="inlineStr">
        <is>
          <t>Vc</t>
        </is>
      </c>
      <c r="D76" s="34">
        <f>0.53*SQRT($D$11)*$D$14*$D$34/1000</f>
        <v/>
      </c>
      <c r="E76" s="24" t="inlineStr">
        <is>
          <t>t</t>
        </is>
      </c>
      <c r="F76" s="27" t="inlineStr">
        <is>
          <t>E.060 11.3.1.1</t>
        </is>
      </c>
    </row>
    <row r="77" ht="13.5" customHeight="1">
      <c r="B77" s="9" t="inlineStr">
        <is>
          <t>Vs = Vu/φ − Vc (φ = 0.85)</t>
        </is>
      </c>
      <c r="C77" s="22" t="inlineStr">
        <is>
          <t>Vs</t>
        </is>
      </c>
      <c r="D77" s="34">
        <f>MAX(0,$D$75/0.85-$D$76)</f>
        <v/>
      </c>
      <c r="E77" s="24" t="inlineStr">
        <is>
          <t>t</t>
        </is>
      </c>
    </row>
    <row r="78" ht="13.5" customHeight="1">
      <c r="B78" s="9" t="inlineStr">
        <is>
          <t>Vs ≤ 2.1·√f'c·b·d</t>
        </is>
      </c>
      <c r="C78" s="29">
        <f>IF($D$77&lt;=2.1*SQRT($D$11)*$D$14*$D$34/1000,"CUMPLE","NO CUMPLE")</f>
        <v/>
      </c>
      <c r="D78" s="30" t="n"/>
      <c r="E78" s="30" t="n"/>
      <c r="F78" s="27" t="inlineStr">
        <is>
          <t>Si no cumple: aumente la sección (11.5.7.9)</t>
        </is>
      </c>
    </row>
    <row r="79" ht="13.5" customHeight="1">
      <c r="B79" s="9" t="inlineStr">
        <is>
          <t>Área de estribos Av = ramas·Abe</t>
        </is>
      </c>
      <c r="C79" s="22" t="inlineStr">
        <is>
          <t>Av</t>
        </is>
      </c>
      <c r="D79" s="34">
        <f>$D$21*$D$40</f>
        <v/>
      </c>
      <c r="E79" s="24" t="inlineStr">
        <is>
          <t>cm²</t>
        </is>
      </c>
    </row>
    <row r="80" ht="13.5" customHeight="1">
      <c r="B80" s="9" t="inlineStr">
        <is>
          <t>Espaciamiento por resistencia s = Av·fy·d/Vs</t>
        </is>
      </c>
      <c r="C80" s="22" t="inlineStr">
        <is>
          <t>s</t>
        </is>
      </c>
      <c r="D80" s="26">
        <f>IF($D$77&lt;=0,999,$D$79*$D$12*$D$34/($D$77*1000))</f>
        <v/>
      </c>
      <c r="E80" s="24" t="inlineStr">
        <is>
          <t>cm</t>
        </is>
      </c>
    </row>
    <row r="81" ht="13.5" customHeight="1">
      <c r="B81" s="9" t="inlineStr">
        <is>
          <t>Menor varilla longitudinal</t>
        </is>
      </c>
      <c r="C81" s="22" t="inlineStr">
        <is>
          <t>db</t>
        </is>
      </c>
      <c r="D81" s="39">
        <f>MIN($D$35,$D$37)</f>
        <v/>
      </c>
      <c r="E81" s="24" t="inlineStr">
        <is>
          <t>cm</t>
        </is>
      </c>
    </row>
    <row r="82" ht="24" customHeight="1">
      <c r="B82" s="9" t="inlineStr">
        <is>
          <t>Espaciamiento en la zona de confinamiento (2h)</t>
        </is>
      </c>
      <c r="C82" s="22" t="inlineStr">
        <is>
          <t>so</t>
        </is>
      </c>
      <c r="D82" s="26">
        <f>FLOOR(MIN(IF($D$13="Pórticos o dual tipo II",$D$34/4,MAX($D$34/4,15)),IF($D$13="Pórticos o dual tipo II",8,10)*$D$81,24*$D$39,30,$D$80),2.5)</f>
        <v/>
      </c>
      <c r="E82" s="24" t="inlineStr">
        <is>
          <t>cm</t>
        </is>
      </c>
      <c r="F82" s="27" t="inlineStr">
        <is>
          <t>Pórticos: d/4, 8db, 24dbe, 30 (21.5.3.2) · Muros: d/4 ≥ 15, 10db, 24dbe, 30 (21.4.4.4)</t>
        </is>
      </c>
    </row>
    <row r="83" ht="13.5" customHeight="1">
      <c r="B83" s="9" t="inlineStr">
        <is>
          <t>Primer estribo desde la cara</t>
        </is>
      </c>
      <c r="C83" s="22" t="inlineStr">
        <is>
          <t>s1</t>
        </is>
      </c>
      <c r="D83" s="28">
        <f>IF($D$13="Pórticos o dual tipo II",5,10)</f>
        <v/>
      </c>
      <c r="E83" s="24" t="inlineStr">
        <is>
          <t>cm</t>
        </is>
      </c>
      <c r="F83" s="27" t="inlineStr">
        <is>
          <t>≤ 5 cm pórticos · ≤ 10 cm muros</t>
        </is>
      </c>
    </row>
    <row r="84" ht="13.5" customHeight="1">
      <c r="B84" s="9" t="inlineStr">
        <is>
          <t>Longitud de confinamiento 2h</t>
        </is>
      </c>
      <c r="C84" s="22" t="inlineStr">
        <is>
          <t>Lc</t>
        </is>
      </c>
      <c r="D84" s="28">
        <f>2*$D$15</f>
        <v/>
      </c>
      <c r="E84" s="24" t="inlineStr">
        <is>
          <t>cm</t>
        </is>
      </c>
    </row>
    <row r="85" ht="13.5" customHeight="1">
      <c r="B85" s="9" t="inlineStr">
        <is>
          <t>Estribos en la zona de confinamiento</t>
        </is>
      </c>
      <c r="C85" s="22" t="inlineStr">
        <is>
          <t>n</t>
        </is>
      </c>
      <c r="D85" s="28">
        <f>CEILING(($D$84-$D$83)/$D$82,1)</f>
        <v/>
      </c>
      <c r="E85" s="24" t="inlineStr"/>
    </row>
    <row r="86" ht="13.5" customHeight="1">
      <c r="B86" s="9" t="inlineStr">
        <is>
          <t>Espaciamiento fuera de la zona</t>
        </is>
      </c>
      <c r="C86" s="22" t="inlineStr">
        <is>
          <t>s</t>
        </is>
      </c>
      <c r="D86" s="26">
        <f>FLOOR(MIN($D$34/2,$D$80,IF($D$77&gt;1.1*SQRT($D$11)*$D$14*$D$34/1000,$D$34/4,60)),2.5)</f>
        <v/>
      </c>
      <c r="E86" s="24" t="inlineStr">
        <is>
          <t>cm</t>
        </is>
      </c>
      <c r="F86" s="27" t="inlineStr">
        <is>
          <t>d/2 (d/4 si Vs &gt; 1.1√f'c·b·d)</t>
        </is>
      </c>
    </row>
    <row r="87" ht="13.5" customHeight="1">
      <c r="B87" s="9" t="inlineStr">
        <is>
          <t>Av ≥ Av mín = máx(0.2√f'c, 3.5)·b·s/fy</t>
        </is>
      </c>
      <c r="C87" s="29">
        <f>IF($D$79&gt;=MAX(0.2*SQRT($D$11),3.5)*$D$14*$D$86/$D$12,"CUMPLE","NO CUMPLE")</f>
        <v/>
      </c>
      <c r="D87" s="30" t="n"/>
      <c r="E87" s="30" t="n"/>
      <c r="F87" s="27" t="inlineStr">
        <is>
          <t>E.060 11.5.6.3</t>
        </is>
      </c>
    </row>
    <row r="88" ht="13.5" customHeight="1">
      <c r="B88" s="9" t="inlineStr">
        <is>
          <t>ESTRIBOS (en cada extremo)</t>
        </is>
      </c>
      <c r="C88" s="22" t="inlineStr"/>
      <c r="D88" s="44">
        <f>"□ Ø "&amp;$D$20&amp;": 1 @ "&amp;FIXED($D$83/100,IF(MOD(ROUND($D$83*10,0),50)=0,2,3))&amp;", "&amp;$D$85&amp;" @ "&amp;FIXED($D$82/100,IF(MOD(ROUND($D$82*10,0),50)=0,2,3))&amp;", resto @ "&amp;FIXED($D$86/100,IF(MOD(ROUND($D$86*10,0),50)=0,2,3))&amp;" m"</f>
        <v/>
      </c>
      <c r="E88" s="30" t="n"/>
      <c r="F88" s="30" t="n"/>
      <c r="G88" s="30" t="n"/>
      <c r="H88" s="30" t="n"/>
    </row>
    <row r="90" ht="17" customHeight="1">
      <c r="B90" s="21" t="inlineStr">
        <is>
          <t>5. REQUISITOS GEOMÉTRICOS Y ANCLAJES</t>
        </is>
      </c>
    </row>
    <row r="91" ht="24" customHeight="1">
      <c r="B91" s="9" t="inlineStr">
        <is>
          <t>Pórticos: b ≥ 25 cm, b ≥ 0.25h y ln ≥ 4h (21.5.1)</t>
        </is>
      </c>
      <c r="C91" s="29">
        <f>IF(OR(NOT($D$13="Pórticos o dual tipo II"),AND($D$14&gt;=25,$D$14&gt;=0.25*$D$15,$D$17*100&gt;=4*$D$15)),"CUMPLE","NO CUMPLE")</f>
        <v/>
      </c>
      <c r="D91" s="30" t="n"/>
      <c r="E91" s="30" t="n"/>
      <c r="F91" s="27" t="inlineStr">
        <is>
          <t>Solo aplica a pórticos y dual tipo II</t>
        </is>
      </c>
    </row>
    <row r="92" ht="24" customHeight="1">
      <c r="B92" s="9" t="inlineStr">
        <is>
          <t>Referencia Tabla 9.1: h ≥ ℓn/21 (ambos extremos continuos)</t>
        </is>
      </c>
      <c r="C92" s="29">
        <f>IF($D$15&gt;=$D$17*100/21,"CUMPLE","REVISAR")</f>
        <v/>
      </c>
      <c r="D92" s="30" t="n"/>
      <c r="E92" s="30" t="n"/>
      <c r="F92" s="27" t="inlineStr">
        <is>
          <t>Si no cumple: verifique deflexiones (9.6.2)</t>
        </is>
      </c>
    </row>
    <row r="93" ht="13.5" customHeight="1">
      <c r="B93" s="9" t="inlineStr">
        <is>
          <t>ld de la varilla superior (ψt = 1.3)</t>
        </is>
      </c>
      <c r="C93" s="22" t="inlineStr">
        <is>
          <t>ld</t>
        </is>
      </c>
      <c r="D93" s="28">
        <f>MAX(30,$D$12*1.3*$D$35/(IF($D$35&lt;=1.905,8.2,6.6)*SQRT($D$11)))</f>
        <v/>
      </c>
      <c r="E93" s="24" t="inlineStr">
        <is>
          <t>cm</t>
        </is>
      </c>
      <c r="F93" s="27" t="inlineStr">
        <is>
          <t>E.060 Tabla 12.1</t>
        </is>
      </c>
    </row>
    <row r="94" ht="13.5" customHeight="1">
      <c r="B94" s="9" t="inlineStr">
        <is>
          <t>ld de la varilla inferior</t>
        </is>
      </c>
      <c r="C94" s="22" t="inlineStr">
        <is>
          <t>ld</t>
        </is>
      </c>
      <c r="D94" s="28">
        <f>MAX(30,$D$12*1*$D$37/(IF($D$37&lt;=1.905,8.2,6.6)*SQRT($D$11)))</f>
        <v/>
      </c>
      <c r="E94" s="24" t="inlineStr">
        <is>
          <t>cm</t>
        </is>
      </c>
    </row>
    <row r="95" ht="13.5" customHeight="1">
      <c r="B95" s="9" t="inlineStr">
        <is>
          <t>Gancho estándar en la columna (superior)</t>
        </is>
      </c>
      <c r="C95" s="22" t="inlineStr">
        <is>
          <t>ldg</t>
        </is>
      </c>
      <c r="D95" s="28">
        <f>MAX(15,8*$D$35,0.075*$D$12*$D$35/SQRT($D$11))</f>
        <v/>
      </c>
      <c r="E95" s="24" t="inlineStr">
        <is>
          <t>cm</t>
        </is>
      </c>
      <c r="F95" s="27" t="inlineStr">
        <is>
          <t>12.5: 0.075·fy·db/√f'c ≥ 8db ≥ 15</t>
        </is>
      </c>
    </row>
    <row r="96" ht="24" customHeight="1">
      <c r="B96" s="9" t="inlineStr">
        <is>
          <t>Empalme clase B superior (fuera de 2h y del nudo)</t>
        </is>
      </c>
      <c r="C96" s="22" t="inlineStr">
        <is>
          <t>le</t>
        </is>
      </c>
      <c r="D96" s="28">
        <f>MAX(30,1.3*$D$93)</f>
        <v/>
      </c>
      <c r="E96" s="24" t="inlineStr">
        <is>
          <t>cm</t>
        </is>
      </c>
      <c r="F96" s="27" t="inlineStr">
        <is>
          <t>21.5.2.3 / 21.4.4.2</t>
        </is>
      </c>
    </row>
    <row r="98" ht="17" customHeight="1">
      <c r="B98" s="21" t="inlineStr">
        <is>
          <t>6. RESUMEN</t>
        </is>
      </c>
    </row>
    <row r="99" ht="13.5" customHeight="1">
      <c r="B99" s="9" t="inlineStr">
        <is>
          <t>Acero superior: Izq · Centro · Der</t>
        </is>
      </c>
      <c r="C99" s="22" t="inlineStr"/>
      <c r="D99" s="44">
        <f>$C$65&amp;" · "&amp;$E$65&amp;" · "&amp;$G$65</f>
        <v/>
      </c>
      <c r="E99" s="30" t="n"/>
      <c r="F99" s="30" t="n"/>
      <c r="G99" s="30" t="n"/>
      <c r="H99" s="30" t="n"/>
    </row>
    <row r="100" ht="13.5" customHeight="1">
      <c r="B100" s="9" t="inlineStr">
        <is>
          <t>Acero inferior: Izq · Centro · Der</t>
        </is>
      </c>
      <c r="C100" s="22" t="inlineStr"/>
      <c r="D100" s="44">
        <f>$D$65&amp;" · "&amp;$F$65&amp;" · "&amp;$H$65</f>
        <v/>
      </c>
      <c r="E100" s="30" t="n"/>
      <c r="F100" s="30" t="n"/>
      <c r="G100" s="30" t="n"/>
      <c r="H100" s="30" t="n"/>
    </row>
    <row r="101" ht="13.5" customHeight="1">
      <c r="B101" s="9" t="inlineStr">
        <is>
          <t>Estribos</t>
        </is>
      </c>
      <c r="C101" s="22" t="inlineStr"/>
      <c r="D101" s="44">
        <f>$D$88</f>
        <v/>
      </c>
      <c r="E101" s="30" t="n"/>
      <c r="F101" s="30" t="n"/>
      <c r="G101" s="30" t="n"/>
      <c r="H101" s="30" t="n"/>
    </row>
    <row r="102" ht="13.5" customHeight="1">
      <c r="B102" s="9" t="inlineStr">
        <is>
          <t>ESTADO GENERAL DEL DISEÑO</t>
        </is>
      </c>
      <c r="C102" s="29">
        <f>IF(AND(COUNTIF($C$64:$H$64,"NO*")=0,$C$78="CUMPLE",$C$87="CUMPLE",$C$91="CUMPLE"),"CUMPLE","NO CUMPLE")</f>
        <v/>
      </c>
      <c r="D102" s="30" t="n"/>
      <c r="E102" s="30" t="n"/>
      <c r="F102" s="27" t="inlineStr">
        <is>
          <t>Revise las líneas en rojo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8">
    <mergeCell ref="F20:H20"/>
    <mergeCell ref="F95:H95"/>
    <mergeCell ref="F76:H76"/>
    <mergeCell ref="B49:H49"/>
    <mergeCell ref="B68:H68"/>
    <mergeCell ref="D100:H100"/>
    <mergeCell ref="F26:H26"/>
    <mergeCell ref="F70:H70"/>
    <mergeCell ref="F75:H75"/>
    <mergeCell ref="D99:H99"/>
    <mergeCell ref="B33:H33"/>
    <mergeCell ref="F91:H91"/>
    <mergeCell ref="F47:H47"/>
    <mergeCell ref="D101:H101"/>
    <mergeCell ref="F102:H102"/>
    <mergeCell ref="D13:H13"/>
    <mergeCell ref="F93:H93"/>
    <mergeCell ref="F43:H43"/>
    <mergeCell ref="F96:H96"/>
    <mergeCell ref="B90:H90"/>
    <mergeCell ref="C91:E91"/>
    <mergeCell ref="F92:H92"/>
    <mergeCell ref="C7:H7"/>
    <mergeCell ref="B31:H31"/>
    <mergeCell ref="B66:H66"/>
    <mergeCell ref="F82:H82"/>
    <mergeCell ref="C102:E102"/>
    <mergeCell ref="C87:E87"/>
    <mergeCell ref="B2:H2"/>
    <mergeCell ref="C78:E78"/>
    <mergeCell ref="C92:E92"/>
    <mergeCell ref="F44:H44"/>
    <mergeCell ref="C3:H3"/>
    <mergeCell ref="F78:H78"/>
    <mergeCell ref="B98:H98"/>
    <mergeCell ref="F11:H11"/>
    <mergeCell ref="F69:H69"/>
    <mergeCell ref="F87:H87"/>
    <mergeCell ref="D88:H88"/>
    <mergeCell ref="C6:H6"/>
    <mergeCell ref="F16:H16"/>
    <mergeCell ref="B1:H1"/>
    <mergeCell ref="C5:H5"/>
    <mergeCell ref="F74:H74"/>
    <mergeCell ref="C4:H4"/>
    <mergeCell ref="B10:H10"/>
    <mergeCell ref="F83:H83"/>
    <mergeCell ref="F86:H86"/>
  </mergeCells>
  <conditionalFormatting sqref="B1:H103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2">
    <dataValidation sqref="D13" showDropDown="0" showInputMessage="0" showErrorMessage="0" allowBlank="0" errorTitle="Valor no válido" error="Elija un valor de la lista" type="list">
      <formula1>"Pórticos o dual tipo II,Muros estructurales o dual tipo I"</formula1>
    </dataValidation>
    <dataValidation sqref="D18 D19 D20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48" min="0" max="16383" man="1"/>
  </rowBreaks>
</worksheet>
</file>

<file path=xl/worksheets/sheet4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BV140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34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2" customWidth="1" min="9" max="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</cols>
  <sheetData>
    <row r="1" ht="24" customHeight="1">
      <c r="B1" s="14" t="inlineStr">
        <is>
          <t>DISEÑO DE COLUMNA · FLEXOCOMPRESIÓN BIAXIAL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  <c r="G3" s="18" t="n"/>
      <c r="H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  <c r="G4" s="18" t="n"/>
      <c r="H4" s="18" t="n"/>
    </row>
    <row r="5">
      <c r="B5" s="16" t="inlineStr">
        <is>
          <t>Elemento</t>
        </is>
      </c>
      <c r="C5" s="19" t="inlineStr">
        <is>
          <t>Columna C-1, 1er piso, eje B-2</t>
        </is>
      </c>
      <c r="D5" s="18" t="n"/>
      <c r="E5" s="18" t="n"/>
      <c r="F5" s="18" t="n"/>
      <c r="G5" s="18" t="n"/>
      <c r="H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G6" s="18" t="n"/>
      <c r="H6" s="18" t="n"/>
      <c r="AD6" s="45" t="inlineStr">
        <is>
          <t>Capas de acero (no imprimir)</t>
        </is>
      </c>
      <c r="AE6" s="45" t="n"/>
      <c r="AF6" s="45" t="n"/>
      <c r="AG6" s="45" t="n"/>
      <c r="AH6" s="45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G7" s="18" t="n"/>
      <c r="H7" s="18" t="n"/>
      <c r="AD7" s="45" t="inlineStr">
        <is>
          <t>i</t>
        </is>
      </c>
      <c r="AE7" s="45" t="inlineStr">
        <is>
          <t>d X (cm)</t>
        </is>
      </c>
      <c r="AF7" s="45" t="inlineStr">
        <is>
          <t>As X</t>
        </is>
      </c>
      <c r="AG7" s="45" t="inlineStr">
        <is>
          <t>d Y (cm)</t>
        </is>
      </c>
      <c r="AH7" s="45" t="inlineStr">
        <is>
          <t>As Y</t>
        </is>
      </c>
      <c r="AK7" s="3" t="inlineStr">
        <is>
          <t>Diagrama X (no imprimir)</t>
        </is>
      </c>
      <c r="AU7" s="3" t="inlineStr">
        <is>
          <t>Diagrama Y (no imprimir)</t>
        </is>
      </c>
    </row>
    <row r="8">
      <c r="AD8" s="45" t="n">
        <v>1</v>
      </c>
      <c r="AE8" s="45">
        <f>IF(1&lt;=$D$19,$D$61+($D$15-2*$D$61)*(1-1)/($D$19-1),0)</f>
        <v/>
      </c>
      <c r="AF8" s="45">
        <f>IF(1&lt;=$D$19,IF(OR(1=1,1=$D$19),$D$18,2)*$D$53,0)</f>
        <v/>
      </c>
      <c r="AG8" s="45">
        <f>IF(1&lt;=$D$18,$D$61+($D$14-2*$D$61)*(1-1)/($D$18-1),0)</f>
        <v/>
      </c>
      <c r="AH8" s="45">
        <f>IF(1&lt;=$D$18,IF(OR(1=1,1=$D$18),$D$19,2)*$D$53,0)</f>
        <v/>
      </c>
      <c r="AK8" s="46" t="inlineStr">
        <is>
          <t>c (cm)</t>
        </is>
      </c>
      <c r="AL8" s="46" t="inlineStr">
        <is>
          <t>a (cm)</t>
        </is>
      </c>
      <c r="AM8" s="46" t="inlineStr">
        <is>
          <t>Pn (t)</t>
        </is>
      </c>
      <c r="AN8" s="46" t="inlineStr">
        <is>
          <t>Mn (t·m)</t>
        </is>
      </c>
      <c r="AO8" s="46" t="inlineStr">
        <is>
          <t>φ</t>
        </is>
      </c>
      <c r="AP8" s="46" t="inlineStr">
        <is>
          <t>φPn (t)</t>
        </is>
      </c>
      <c r="AQ8" s="46" t="inlineStr">
        <is>
          <t>φMn (t·m)</t>
        </is>
      </c>
      <c r="AR8" s="46" t="inlineStr">
        <is>
          <t>−e (m)</t>
        </is>
      </c>
      <c r="AS8" s="46" t="inlineStr">
        <is>
          <t>φPn sin tope</t>
        </is>
      </c>
      <c r="AU8" s="46" t="inlineStr">
        <is>
          <t>c (cm)</t>
        </is>
      </c>
      <c r="AV8" s="46" t="inlineStr">
        <is>
          <t>a (cm)</t>
        </is>
      </c>
      <c r="AW8" s="46" t="inlineStr">
        <is>
          <t>Pn (t)</t>
        </is>
      </c>
      <c r="AX8" s="46" t="inlineStr">
        <is>
          <t>Mn (t·m)</t>
        </is>
      </c>
      <c r="AY8" s="46" t="inlineStr">
        <is>
          <t>φ</t>
        </is>
      </c>
      <c r="AZ8" s="46" t="inlineStr">
        <is>
          <t>φPn (t)</t>
        </is>
      </c>
      <c r="BA8" s="46" t="inlineStr">
        <is>
          <t>φMn (t·m)</t>
        </is>
      </c>
      <c r="BB8" s="46" t="inlineStr">
        <is>
          <t>−e (m)</t>
        </is>
      </c>
      <c r="BC8" s="46" t="inlineStr">
        <is>
          <t>φPn sin tope</t>
        </is>
      </c>
    </row>
    <row r="9">
      <c r="AD9" s="45" t="n">
        <v>2</v>
      </c>
      <c r="AE9" s="45">
        <f>IF(2&lt;=$D$19,$D$61+($D$15-2*$D$61)*(2-1)/($D$19-1),0)</f>
        <v/>
      </c>
      <c r="AF9" s="45">
        <f>IF(2&lt;=$D$19,IF(OR(2=1,2=$D$19),$D$18,2)*$D$53,0)</f>
        <v/>
      </c>
      <c r="AG9" s="45">
        <f>IF(2&lt;=$D$18,$D$61+($D$14-2*$D$61)*(2-1)/($D$18-1),0)</f>
        <v/>
      </c>
      <c r="AH9" s="45">
        <f>IF(2&lt;=$D$18,IF(OR(2=1,2=$D$18),$D$19,2)*$D$53,0)</f>
        <v/>
      </c>
      <c r="AK9" s="46" t="n">
        <v>0</v>
      </c>
      <c r="AL9" s="46" t="n">
        <v>0</v>
      </c>
      <c r="AM9" s="46">
        <f>-$D$12*$D$57/1000</f>
        <v/>
      </c>
      <c r="AN9" s="46" t="n">
        <v>0</v>
      </c>
      <c r="AO9" s="46" t="n">
        <v>0.9</v>
      </c>
      <c r="AP9" s="46">
        <f>AO9*AM9</f>
        <v/>
      </c>
      <c r="AQ9" s="46" t="n">
        <v>0</v>
      </c>
      <c r="AR9" s="46" t="n">
        <v>-1000000000</v>
      </c>
      <c r="AS9" s="46">
        <f>AP9</f>
        <v/>
      </c>
      <c r="AU9" s="46" t="n">
        <v>0</v>
      </c>
      <c r="AV9" s="46" t="n">
        <v>0</v>
      </c>
      <c r="AW9" s="46">
        <f>-$D$12*$D$57/1000</f>
        <v/>
      </c>
      <c r="AX9" s="46" t="n">
        <v>0</v>
      </c>
      <c r="AY9" s="46" t="n">
        <v>0.9</v>
      </c>
      <c r="AZ9" s="46">
        <f>AY9*AW9</f>
        <v/>
      </c>
      <c r="BA9" s="46" t="n">
        <v>0</v>
      </c>
      <c r="BB9" s="46" t="n">
        <v>-1000000000</v>
      </c>
      <c r="BC9" s="46">
        <f>AZ9</f>
        <v/>
      </c>
    </row>
    <row r="10" ht="17" customHeight="1">
      <c r="B10" s="21" t="inlineStr">
        <is>
          <t>1. DATOS DE ENTRADA</t>
        </is>
      </c>
      <c r="AD10" s="45" t="n">
        <v>3</v>
      </c>
      <c r="AE10" s="45">
        <f>IF(3&lt;=$D$19,$D$61+($D$15-2*$D$61)*(3-1)/($D$19-1),0)</f>
        <v/>
      </c>
      <c r="AF10" s="45">
        <f>IF(3&lt;=$D$19,IF(OR(3=1,3=$D$19),$D$18,2)*$D$53,0)</f>
        <v/>
      </c>
      <c r="AG10" s="45">
        <f>IF(3&lt;=$D$18,$D$61+($D$14-2*$D$61)*(3-1)/($D$18-1),0)</f>
        <v/>
      </c>
      <c r="AH10" s="45">
        <f>IF(3&lt;=$D$18,IF(OR(3=1,3=$D$18),$D$19,2)*$D$53,0)</f>
        <v/>
      </c>
      <c r="AK10" s="46">
        <f>0.02*$D$15</f>
        <v/>
      </c>
      <c r="AL10" s="46">
        <f>MIN($D$66*AK10,$D$15)</f>
        <v/>
      </c>
      <c r="AM10" s="46">
        <f>(0.85*$D$11*AL10*$D$14+SUMPRODUCT($AF$8:$AF$17,(ABS(6000*(1-$AE$8:$AE$17/AK10)+$D$12)-ABS(6000*(1-$AE$8:$AE$17/AK10)-$D$12))/2-0.85*$D$11*($AE$8:$AE$17&lt;AL10)))/1000</f>
        <v/>
      </c>
      <c r="AN10" s="46">
        <f>(0.85*$D$11*AL10*$D$14*($D$15/2-AL10/2)+SUMPRODUCT($AF$8:$AF$17,(ABS(6000*(1-$AE$8:$AE$17/AK10)+$D$12)-ABS(6000*(1-$AE$8:$AE$17/AK10)-$D$12))/2-0.85*$D$11*($AE$8:$AE$17&lt;AL10),$D$15/2-$AE$8:$AE$17))/100000</f>
        <v/>
      </c>
      <c r="AO10" s="46">
        <f>IF(AM10&lt;=0,0.9,MAX(0.7,0.9/(1+0.2*AM10/$D$71)))</f>
        <v/>
      </c>
      <c r="AP10" s="46">
        <f>MIN(AO10*AM10,$D$68)</f>
        <v/>
      </c>
      <c r="AQ10" s="46">
        <f>MAX(0,AO10*AN10)</f>
        <v/>
      </c>
      <c r="AR10" s="46">
        <f>IF(AS10&gt;0,-AQ10/AS10,-1E+9)</f>
        <v/>
      </c>
      <c r="AS10" s="46">
        <f>AO10*AM10</f>
        <v/>
      </c>
      <c r="AU10" s="46">
        <f>0.02*$D$14</f>
        <v/>
      </c>
      <c r="AV10" s="46">
        <f>MIN($D$66*AU10,$D$14)</f>
        <v/>
      </c>
      <c r="AW10" s="46">
        <f>(0.85*$D$11*AV10*$D$15+SUMPRODUCT($AH$8:$AH$17,(ABS(6000*(1-$AG$8:$AG$17/AU10)+$D$12)-ABS(6000*(1-$AG$8:$AG$17/AU10)-$D$12))/2-0.85*$D$11*($AG$8:$AG$17&lt;AV10)))/1000</f>
        <v/>
      </c>
      <c r="AX10" s="46">
        <f>(0.85*$D$11*AV10*$D$15*($D$14/2-AV10/2)+SUMPRODUCT($AH$8:$AH$17,(ABS(6000*(1-$AG$8:$AG$17/AU10)+$D$12)-ABS(6000*(1-$AG$8:$AG$17/AU10)-$D$12))/2-0.85*$D$11*($AG$8:$AG$17&lt;AV10),$D$14/2-$AG$8:$AG$17))/100000</f>
        <v/>
      </c>
      <c r="AY10" s="46">
        <f>IF(AW10&lt;=0,0.9,MAX(0.7,0.9/(1+0.2*AW10/$D$72)))</f>
        <v/>
      </c>
      <c r="AZ10" s="46">
        <f>MIN(AY10*AW10,$D$68)</f>
        <v/>
      </c>
      <c r="BA10" s="46">
        <f>MAX(0,AY10*AX10)</f>
        <v/>
      </c>
      <c r="BB10" s="46">
        <f>IF(BC10&gt;0,-BA10/BC10,-1E+9)</f>
        <v/>
      </c>
      <c r="BC10" s="46">
        <f>AY10*AW10</f>
        <v/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AD11" s="45" t="n">
        <v>4</v>
      </c>
      <c r="AE11" s="45">
        <f>IF(4&lt;=$D$19,$D$61+($D$15-2*$D$61)*(4-1)/($D$19-1),0)</f>
        <v/>
      </c>
      <c r="AF11" s="45">
        <f>IF(4&lt;=$D$19,IF(OR(4=1,4=$D$19),$D$18,2)*$D$53,0)</f>
        <v/>
      </c>
      <c r="AG11" s="45">
        <f>IF(4&lt;=$D$18,$D$61+($D$14-2*$D$61)*(4-1)/($D$18-1),0)</f>
        <v/>
      </c>
      <c r="AH11" s="45">
        <f>IF(4&lt;=$D$18,IF(OR(4=1,4=$D$18),$D$19,2)*$D$53,0)</f>
        <v/>
      </c>
      <c r="AK11" s="46">
        <f>0.04*$D$15</f>
        <v/>
      </c>
      <c r="AL11" s="46">
        <f>MIN($D$66*AK11,$D$15)</f>
        <v/>
      </c>
      <c r="AM11" s="46">
        <f>(0.85*$D$11*AL11*$D$14+SUMPRODUCT($AF$8:$AF$17,(ABS(6000*(1-$AE$8:$AE$17/AK11)+$D$12)-ABS(6000*(1-$AE$8:$AE$17/AK11)-$D$12))/2-0.85*$D$11*($AE$8:$AE$17&lt;AL11)))/1000</f>
        <v/>
      </c>
      <c r="AN11" s="46">
        <f>(0.85*$D$11*AL11*$D$14*($D$15/2-AL11/2)+SUMPRODUCT($AF$8:$AF$17,(ABS(6000*(1-$AE$8:$AE$17/AK11)+$D$12)-ABS(6000*(1-$AE$8:$AE$17/AK11)-$D$12))/2-0.85*$D$11*($AE$8:$AE$17&lt;AL11),$D$15/2-$AE$8:$AE$17))/100000</f>
        <v/>
      </c>
      <c r="AO11" s="46">
        <f>IF(AM11&lt;=0,0.9,MAX(0.7,0.9/(1+0.2*AM11/$D$71)))</f>
        <v/>
      </c>
      <c r="AP11" s="46">
        <f>MIN(AO11*AM11,$D$68)</f>
        <v/>
      </c>
      <c r="AQ11" s="46">
        <f>MAX(0,AO11*AN11)</f>
        <v/>
      </c>
      <c r="AR11" s="46">
        <f>IF(AS11&gt;0,-AQ11/AS11,-1E+9)</f>
        <v/>
      </c>
      <c r="AS11" s="46">
        <f>AO11*AM11</f>
        <v/>
      </c>
      <c r="AU11" s="46">
        <f>0.04*$D$14</f>
        <v/>
      </c>
      <c r="AV11" s="46">
        <f>MIN($D$66*AU11,$D$14)</f>
        <v/>
      </c>
      <c r="AW11" s="46">
        <f>(0.85*$D$11*AV11*$D$15+SUMPRODUCT($AH$8:$AH$17,(ABS(6000*(1-$AG$8:$AG$17/AU11)+$D$12)-ABS(6000*(1-$AG$8:$AG$17/AU11)-$D$12))/2-0.85*$D$11*($AG$8:$AG$17&lt;AV11)))/1000</f>
        <v/>
      </c>
      <c r="AX11" s="46">
        <f>(0.85*$D$11*AV11*$D$15*($D$14/2-AV11/2)+SUMPRODUCT($AH$8:$AH$17,(ABS(6000*(1-$AG$8:$AG$17/AU11)+$D$12)-ABS(6000*(1-$AG$8:$AG$17/AU11)-$D$12))/2-0.85*$D$11*($AG$8:$AG$17&lt;AV11),$D$14/2-$AG$8:$AG$17))/100000</f>
        <v/>
      </c>
      <c r="AY11" s="46">
        <f>IF(AW11&lt;=0,0.9,MAX(0.7,0.9/(1+0.2*AW11/$D$72)))</f>
        <v/>
      </c>
      <c r="AZ11" s="46">
        <f>MIN(AY11*AW11,$D$68)</f>
        <v/>
      </c>
      <c r="BA11" s="46">
        <f>MAX(0,AY11*AX11)</f>
        <v/>
      </c>
      <c r="BB11" s="46">
        <f>IF(BC11&gt;0,-BA11/BC11,-1E+9)</f>
        <v/>
      </c>
      <c r="BC11" s="46">
        <f>AY11*AW11</f>
        <v/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  <c r="AD12" s="45" t="n">
        <v>5</v>
      </c>
      <c r="AE12" s="45">
        <f>IF(5&lt;=$D$19,$D$61+($D$15-2*$D$61)*(5-1)/($D$19-1),0)</f>
        <v/>
      </c>
      <c r="AF12" s="45">
        <f>IF(5&lt;=$D$19,IF(OR(5=1,5=$D$19),$D$18,2)*$D$53,0)</f>
        <v/>
      </c>
      <c r="AG12" s="45">
        <f>IF(5&lt;=$D$18,$D$61+($D$14-2*$D$61)*(5-1)/($D$18-1),0)</f>
        <v/>
      </c>
      <c r="AH12" s="45">
        <f>IF(5&lt;=$D$18,IF(OR(5=1,5=$D$18),$D$19,2)*$D$53,0)</f>
        <v/>
      </c>
      <c r="AK12" s="46">
        <f>0.06*$D$15</f>
        <v/>
      </c>
      <c r="AL12" s="46">
        <f>MIN($D$66*AK12,$D$15)</f>
        <v/>
      </c>
      <c r="AM12" s="46">
        <f>(0.85*$D$11*AL12*$D$14+SUMPRODUCT($AF$8:$AF$17,(ABS(6000*(1-$AE$8:$AE$17/AK12)+$D$12)-ABS(6000*(1-$AE$8:$AE$17/AK12)-$D$12))/2-0.85*$D$11*($AE$8:$AE$17&lt;AL12)))/1000</f>
        <v/>
      </c>
      <c r="AN12" s="46">
        <f>(0.85*$D$11*AL12*$D$14*($D$15/2-AL12/2)+SUMPRODUCT($AF$8:$AF$17,(ABS(6000*(1-$AE$8:$AE$17/AK12)+$D$12)-ABS(6000*(1-$AE$8:$AE$17/AK12)-$D$12))/2-0.85*$D$11*($AE$8:$AE$17&lt;AL12),$D$15/2-$AE$8:$AE$17))/100000</f>
        <v/>
      </c>
      <c r="AO12" s="46">
        <f>IF(AM12&lt;=0,0.9,MAX(0.7,0.9/(1+0.2*AM12/$D$71)))</f>
        <v/>
      </c>
      <c r="AP12" s="46">
        <f>MIN(AO12*AM12,$D$68)</f>
        <v/>
      </c>
      <c r="AQ12" s="46">
        <f>MAX(0,AO12*AN12)</f>
        <v/>
      </c>
      <c r="AR12" s="46">
        <f>IF(AS12&gt;0,-AQ12/AS12,-1E+9)</f>
        <v/>
      </c>
      <c r="AS12" s="46">
        <f>AO12*AM12</f>
        <v/>
      </c>
      <c r="AU12" s="46">
        <f>0.06*$D$14</f>
        <v/>
      </c>
      <c r="AV12" s="46">
        <f>MIN($D$66*AU12,$D$14)</f>
        <v/>
      </c>
      <c r="AW12" s="46">
        <f>(0.85*$D$11*AV12*$D$15+SUMPRODUCT($AH$8:$AH$17,(ABS(6000*(1-$AG$8:$AG$17/AU12)+$D$12)-ABS(6000*(1-$AG$8:$AG$17/AU12)-$D$12))/2-0.85*$D$11*($AG$8:$AG$17&lt;AV12)))/1000</f>
        <v/>
      </c>
      <c r="AX12" s="46">
        <f>(0.85*$D$11*AV12*$D$15*($D$14/2-AV12/2)+SUMPRODUCT($AH$8:$AH$17,(ABS(6000*(1-$AG$8:$AG$17/AU12)+$D$12)-ABS(6000*(1-$AG$8:$AG$17/AU12)-$D$12))/2-0.85*$D$11*($AG$8:$AG$17&lt;AV12),$D$14/2-$AG$8:$AG$17))/100000</f>
        <v/>
      </c>
      <c r="AY12" s="46">
        <f>IF(AW12&lt;=0,0.9,MAX(0.7,0.9/(1+0.2*AW12/$D$72)))</f>
        <v/>
      </c>
      <c r="AZ12" s="46">
        <f>MIN(AY12*AW12,$D$68)</f>
        <v/>
      </c>
      <c r="BA12" s="46">
        <f>MAX(0,AY12*AX12)</f>
        <v/>
      </c>
      <c r="BB12" s="46">
        <f>IF(BC12&gt;0,-BA12/BC12,-1E+9)</f>
        <v/>
      </c>
      <c r="BC12" s="46">
        <f>AY12*AW12</f>
        <v/>
      </c>
    </row>
    <row r="13" ht="13.5" customHeight="1">
      <c r="B13" s="9" t="inlineStr">
        <is>
          <t>Sistema estructural (define el capítulo 21)</t>
        </is>
      </c>
      <c r="C13" s="22" t="inlineStr"/>
      <c r="D13" s="31" t="inlineStr">
        <is>
          <t>Muros estructurales o dual tipo I</t>
        </is>
      </c>
      <c r="E13" s="32" t="n"/>
      <c r="F13" s="32" t="n"/>
      <c r="G13" s="32" t="n"/>
      <c r="H13" s="33" t="n"/>
      <c r="AD13" s="45" t="n">
        <v>6</v>
      </c>
      <c r="AE13" s="45">
        <f>IF(6&lt;=$D$19,$D$61+($D$15-2*$D$61)*(6-1)/($D$19-1),0)</f>
        <v/>
      </c>
      <c r="AF13" s="45">
        <f>IF(6&lt;=$D$19,IF(OR(6=1,6=$D$19),$D$18,2)*$D$53,0)</f>
        <v/>
      </c>
      <c r="AG13" s="45">
        <f>IF(6&lt;=$D$18,$D$61+($D$14-2*$D$61)*(6-1)/($D$18-1),0)</f>
        <v/>
      </c>
      <c r="AH13" s="45">
        <f>IF(6&lt;=$D$18,IF(OR(6=1,6=$D$18),$D$19,2)*$D$53,0)</f>
        <v/>
      </c>
      <c r="AK13" s="46">
        <f>0.08*$D$15</f>
        <v/>
      </c>
      <c r="AL13" s="46">
        <f>MIN($D$66*AK13,$D$15)</f>
        <v/>
      </c>
      <c r="AM13" s="46">
        <f>(0.85*$D$11*AL13*$D$14+SUMPRODUCT($AF$8:$AF$17,(ABS(6000*(1-$AE$8:$AE$17/AK13)+$D$12)-ABS(6000*(1-$AE$8:$AE$17/AK13)-$D$12))/2-0.85*$D$11*($AE$8:$AE$17&lt;AL13)))/1000</f>
        <v/>
      </c>
      <c r="AN13" s="46">
        <f>(0.85*$D$11*AL13*$D$14*($D$15/2-AL13/2)+SUMPRODUCT($AF$8:$AF$17,(ABS(6000*(1-$AE$8:$AE$17/AK13)+$D$12)-ABS(6000*(1-$AE$8:$AE$17/AK13)-$D$12))/2-0.85*$D$11*($AE$8:$AE$17&lt;AL13),$D$15/2-$AE$8:$AE$17))/100000</f>
        <v/>
      </c>
      <c r="AO13" s="46">
        <f>IF(AM13&lt;=0,0.9,MAX(0.7,0.9/(1+0.2*AM13/$D$71)))</f>
        <v/>
      </c>
      <c r="AP13" s="46">
        <f>MIN(AO13*AM13,$D$68)</f>
        <v/>
      </c>
      <c r="AQ13" s="46">
        <f>MAX(0,AO13*AN13)</f>
        <v/>
      </c>
      <c r="AR13" s="46">
        <f>IF(AS13&gt;0,-AQ13/AS13,-1E+9)</f>
        <v/>
      </c>
      <c r="AS13" s="46">
        <f>AO13*AM13</f>
        <v/>
      </c>
      <c r="AU13" s="46">
        <f>0.08*$D$14</f>
        <v/>
      </c>
      <c r="AV13" s="46">
        <f>MIN($D$66*AU13,$D$14)</f>
        <v/>
      </c>
      <c r="AW13" s="46">
        <f>(0.85*$D$11*AV13*$D$15+SUMPRODUCT($AH$8:$AH$17,(ABS(6000*(1-$AG$8:$AG$17/AU13)+$D$12)-ABS(6000*(1-$AG$8:$AG$17/AU13)-$D$12))/2-0.85*$D$11*($AG$8:$AG$17&lt;AV13)))/1000</f>
        <v/>
      </c>
      <c r="AX13" s="46">
        <f>(0.85*$D$11*AV13*$D$15*($D$14/2-AV13/2)+SUMPRODUCT($AH$8:$AH$17,(ABS(6000*(1-$AG$8:$AG$17/AU13)+$D$12)-ABS(6000*(1-$AG$8:$AG$17/AU13)-$D$12))/2-0.85*$D$11*($AG$8:$AG$17&lt;AV13),$D$14/2-$AG$8:$AG$17))/100000</f>
        <v/>
      </c>
      <c r="AY13" s="46">
        <f>IF(AW13&lt;=0,0.9,MAX(0.7,0.9/(1+0.2*AW13/$D$72)))</f>
        <v/>
      </c>
      <c r="AZ13" s="46">
        <f>MIN(AY13*AW13,$D$68)</f>
        <v/>
      </c>
      <c r="BA13" s="46">
        <f>MAX(0,AY13*AX13)</f>
        <v/>
      </c>
      <c r="BB13" s="46">
        <f>IF(BC13&gt;0,-BA13/BC13,-1E+9)</f>
        <v/>
      </c>
      <c r="BC13" s="46">
        <f>AY13*AW13</f>
        <v/>
      </c>
    </row>
    <row r="14" ht="13.5" customHeight="1">
      <c r="B14" s="9" t="inlineStr">
        <is>
          <t>Dimensión B (paralela al eje X)</t>
        </is>
      </c>
      <c r="C14" s="22" t="inlineStr">
        <is>
          <t>B</t>
        </is>
      </c>
      <c r="D14" s="35" t="n">
        <v>35</v>
      </c>
      <c r="E14" s="24" t="inlineStr">
        <is>
          <t>cm</t>
        </is>
      </c>
      <c r="AD14" s="45" t="n">
        <v>7</v>
      </c>
      <c r="AE14" s="45">
        <f>IF(7&lt;=$D$19,$D$61+($D$15-2*$D$61)*(7-1)/($D$19-1),0)</f>
        <v/>
      </c>
      <c r="AF14" s="45">
        <f>IF(7&lt;=$D$19,IF(OR(7=1,7=$D$19),$D$18,2)*$D$53,0)</f>
        <v/>
      </c>
      <c r="AG14" s="45">
        <f>IF(7&lt;=$D$18,$D$61+($D$14-2*$D$61)*(7-1)/($D$18-1),0)</f>
        <v/>
      </c>
      <c r="AH14" s="45">
        <f>IF(7&lt;=$D$18,IF(OR(7=1,7=$D$18),$D$19,2)*$D$53,0)</f>
        <v/>
      </c>
      <c r="AK14" s="46">
        <f>0.1*$D$15</f>
        <v/>
      </c>
      <c r="AL14" s="46">
        <f>MIN($D$66*AK14,$D$15)</f>
        <v/>
      </c>
      <c r="AM14" s="46">
        <f>(0.85*$D$11*AL14*$D$14+SUMPRODUCT($AF$8:$AF$17,(ABS(6000*(1-$AE$8:$AE$17/AK14)+$D$12)-ABS(6000*(1-$AE$8:$AE$17/AK14)-$D$12))/2-0.85*$D$11*($AE$8:$AE$17&lt;AL14)))/1000</f>
        <v/>
      </c>
      <c r="AN14" s="46">
        <f>(0.85*$D$11*AL14*$D$14*($D$15/2-AL14/2)+SUMPRODUCT($AF$8:$AF$17,(ABS(6000*(1-$AE$8:$AE$17/AK14)+$D$12)-ABS(6000*(1-$AE$8:$AE$17/AK14)-$D$12))/2-0.85*$D$11*($AE$8:$AE$17&lt;AL14),$D$15/2-$AE$8:$AE$17))/100000</f>
        <v/>
      </c>
      <c r="AO14" s="46">
        <f>IF(AM14&lt;=0,0.9,MAX(0.7,0.9/(1+0.2*AM14/$D$71)))</f>
        <v/>
      </c>
      <c r="AP14" s="46">
        <f>MIN(AO14*AM14,$D$68)</f>
        <v/>
      </c>
      <c r="AQ14" s="46">
        <f>MAX(0,AO14*AN14)</f>
        <v/>
      </c>
      <c r="AR14" s="46">
        <f>IF(AS14&gt;0,-AQ14/AS14,-1E+9)</f>
        <v/>
      </c>
      <c r="AS14" s="46">
        <f>AO14*AM14</f>
        <v/>
      </c>
      <c r="AU14" s="46">
        <f>0.1*$D$14</f>
        <v/>
      </c>
      <c r="AV14" s="46">
        <f>MIN($D$66*AU14,$D$14)</f>
        <v/>
      </c>
      <c r="AW14" s="46">
        <f>(0.85*$D$11*AV14*$D$15+SUMPRODUCT($AH$8:$AH$17,(ABS(6000*(1-$AG$8:$AG$17/AU14)+$D$12)-ABS(6000*(1-$AG$8:$AG$17/AU14)-$D$12))/2-0.85*$D$11*($AG$8:$AG$17&lt;AV14)))/1000</f>
        <v/>
      </c>
      <c r="AX14" s="46">
        <f>(0.85*$D$11*AV14*$D$15*($D$14/2-AV14/2)+SUMPRODUCT($AH$8:$AH$17,(ABS(6000*(1-$AG$8:$AG$17/AU14)+$D$12)-ABS(6000*(1-$AG$8:$AG$17/AU14)-$D$12))/2-0.85*$D$11*($AG$8:$AG$17&lt;AV14),$D$14/2-$AG$8:$AG$17))/100000</f>
        <v/>
      </c>
      <c r="AY14" s="46">
        <f>IF(AW14&lt;=0,0.9,MAX(0.7,0.9/(1+0.2*AW14/$D$72)))</f>
        <v/>
      </c>
      <c r="AZ14" s="46">
        <f>MIN(AY14*AW14,$D$68)</f>
        <v/>
      </c>
      <c r="BA14" s="46">
        <f>MAX(0,AY14*AX14)</f>
        <v/>
      </c>
      <c r="BB14" s="46">
        <f>IF(BC14&gt;0,-BA14/BC14,-1E+9)</f>
        <v/>
      </c>
      <c r="BC14" s="46">
        <f>AY14*AW14</f>
        <v/>
      </c>
    </row>
    <row r="15" ht="13.5" customHeight="1">
      <c r="B15" s="9" t="inlineStr">
        <is>
          <t>Dimensión H (paralela al eje Y)</t>
        </is>
      </c>
      <c r="C15" s="22" t="inlineStr">
        <is>
          <t>H</t>
        </is>
      </c>
      <c r="D15" s="35" t="n">
        <v>50</v>
      </c>
      <c r="E15" s="24" t="inlineStr">
        <is>
          <t>cm</t>
        </is>
      </c>
      <c r="AD15" s="45" t="n">
        <v>8</v>
      </c>
      <c r="AE15" s="45">
        <f>IF(8&lt;=$D$19,$D$61+($D$15-2*$D$61)*(8-1)/($D$19-1),0)</f>
        <v/>
      </c>
      <c r="AF15" s="45">
        <f>IF(8&lt;=$D$19,IF(OR(8=1,8=$D$19),$D$18,2)*$D$53,0)</f>
        <v/>
      </c>
      <c r="AG15" s="45">
        <f>IF(8&lt;=$D$18,$D$61+($D$14-2*$D$61)*(8-1)/($D$18-1),0)</f>
        <v/>
      </c>
      <c r="AH15" s="45">
        <f>IF(8&lt;=$D$18,IF(OR(8=1,8=$D$18),$D$19,2)*$D$53,0)</f>
        <v/>
      </c>
      <c r="AK15" s="46">
        <f>0.13*$D$15</f>
        <v/>
      </c>
      <c r="AL15" s="46">
        <f>MIN($D$66*AK15,$D$15)</f>
        <v/>
      </c>
      <c r="AM15" s="46">
        <f>(0.85*$D$11*AL15*$D$14+SUMPRODUCT($AF$8:$AF$17,(ABS(6000*(1-$AE$8:$AE$17/AK15)+$D$12)-ABS(6000*(1-$AE$8:$AE$17/AK15)-$D$12))/2-0.85*$D$11*($AE$8:$AE$17&lt;AL15)))/1000</f>
        <v/>
      </c>
      <c r="AN15" s="46">
        <f>(0.85*$D$11*AL15*$D$14*($D$15/2-AL15/2)+SUMPRODUCT($AF$8:$AF$17,(ABS(6000*(1-$AE$8:$AE$17/AK15)+$D$12)-ABS(6000*(1-$AE$8:$AE$17/AK15)-$D$12))/2-0.85*$D$11*($AE$8:$AE$17&lt;AL15),$D$15/2-$AE$8:$AE$17))/100000</f>
        <v/>
      </c>
      <c r="AO15" s="46">
        <f>IF(AM15&lt;=0,0.9,MAX(0.7,0.9/(1+0.2*AM15/$D$71)))</f>
        <v/>
      </c>
      <c r="AP15" s="46">
        <f>MIN(AO15*AM15,$D$68)</f>
        <v/>
      </c>
      <c r="AQ15" s="46">
        <f>MAX(0,AO15*AN15)</f>
        <v/>
      </c>
      <c r="AR15" s="46">
        <f>IF(AS15&gt;0,-AQ15/AS15,-1E+9)</f>
        <v/>
      </c>
      <c r="AS15" s="46">
        <f>AO15*AM15</f>
        <v/>
      </c>
      <c r="AU15" s="46">
        <f>0.13*$D$14</f>
        <v/>
      </c>
      <c r="AV15" s="46">
        <f>MIN($D$66*AU15,$D$14)</f>
        <v/>
      </c>
      <c r="AW15" s="46">
        <f>(0.85*$D$11*AV15*$D$15+SUMPRODUCT($AH$8:$AH$17,(ABS(6000*(1-$AG$8:$AG$17/AU15)+$D$12)-ABS(6000*(1-$AG$8:$AG$17/AU15)-$D$12))/2-0.85*$D$11*($AG$8:$AG$17&lt;AV15)))/1000</f>
        <v/>
      </c>
      <c r="AX15" s="46">
        <f>(0.85*$D$11*AV15*$D$15*($D$14/2-AV15/2)+SUMPRODUCT($AH$8:$AH$17,(ABS(6000*(1-$AG$8:$AG$17/AU15)+$D$12)-ABS(6000*(1-$AG$8:$AG$17/AU15)-$D$12))/2-0.85*$D$11*($AG$8:$AG$17&lt;AV15),$D$14/2-$AG$8:$AG$17))/100000</f>
        <v/>
      </c>
      <c r="AY15" s="46">
        <f>IF(AW15&lt;=0,0.9,MAX(0.7,0.9/(1+0.2*AW15/$D$72)))</f>
        <v/>
      </c>
      <c r="AZ15" s="46">
        <f>MIN(AY15*AW15,$D$68)</f>
        <v/>
      </c>
      <c r="BA15" s="46">
        <f>MAX(0,AY15*AX15)</f>
        <v/>
      </c>
      <c r="BB15" s="46">
        <f>IF(BC15&gt;0,-BA15/BC15,-1E+9)</f>
        <v/>
      </c>
      <c r="BC15" s="46">
        <f>AY15*AW15</f>
        <v/>
      </c>
    </row>
    <row r="16" ht="13.5" customHeight="1">
      <c r="B16" s="9" t="inlineStr">
        <is>
          <t>Recubrimiento libre</t>
        </is>
      </c>
      <c r="C16" s="22" t="inlineStr">
        <is>
          <t>r</t>
        </is>
      </c>
      <c r="D16" s="35" t="n">
        <v>4</v>
      </c>
      <c r="E16" s="24" t="inlineStr">
        <is>
          <t>cm</t>
        </is>
      </c>
      <c r="F16" s="27" t="inlineStr">
        <is>
          <t>E.060 7.7.1: columnas 4 cm</t>
        </is>
      </c>
      <c r="AD16" s="45" t="n">
        <v>9</v>
      </c>
      <c r="AE16" s="45">
        <f>IF(9&lt;=$D$19,$D$61+($D$15-2*$D$61)*(9-1)/($D$19-1),0)</f>
        <v/>
      </c>
      <c r="AF16" s="45">
        <f>IF(9&lt;=$D$19,IF(OR(9=1,9=$D$19),$D$18,2)*$D$53,0)</f>
        <v/>
      </c>
      <c r="AG16" s="45">
        <f>IF(9&lt;=$D$18,$D$61+($D$14-2*$D$61)*(9-1)/($D$18-1),0)</f>
        <v/>
      </c>
      <c r="AH16" s="45">
        <f>IF(9&lt;=$D$18,IF(OR(9=1,9=$D$18),$D$19,2)*$D$53,0)</f>
        <v/>
      </c>
      <c r="AK16" s="46">
        <f>0.16*$D$15</f>
        <v/>
      </c>
      <c r="AL16" s="46">
        <f>MIN($D$66*AK16,$D$15)</f>
        <v/>
      </c>
      <c r="AM16" s="46">
        <f>(0.85*$D$11*AL16*$D$14+SUMPRODUCT($AF$8:$AF$17,(ABS(6000*(1-$AE$8:$AE$17/AK16)+$D$12)-ABS(6000*(1-$AE$8:$AE$17/AK16)-$D$12))/2-0.85*$D$11*($AE$8:$AE$17&lt;AL16)))/1000</f>
        <v/>
      </c>
      <c r="AN16" s="46">
        <f>(0.85*$D$11*AL16*$D$14*($D$15/2-AL16/2)+SUMPRODUCT($AF$8:$AF$17,(ABS(6000*(1-$AE$8:$AE$17/AK16)+$D$12)-ABS(6000*(1-$AE$8:$AE$17/AK16)-$D$12))/2-0.85*$D$11*($AE$8:$AE$17&lt;AL16),$D$15/2-$AE$8:$AE$17))/100000</f>
        <v/>
      </c>
      <c r="AO16" s="46">
        <f>IF(AM16&lt;=0,0.9,MAX(0.7,0.9/(1+0.2*AM16/$D$71)))</f>
        <v/>
      </c>
      <c r="AP16" s="46">
        <f>MIN(AO16*AM16,$D$68)</f>
        <v/>
      </c>
      <c r="AQ16" s="46">
        <f>MAX(0,AO16*AN16)</f>
        <v/>
      </c>
      <c r="AR16" s="46">
        <f>IF(AS16&gt;0,-AQ16/AS16,-1E+9)</f>
        <v/>
      </c>
      <c r="AS16" s="46">
        <f>AO16*AM16</f>
        <v/>
      </c>
      <c r="AU16" s="46">
        <f>0.16*$D$14</f>
        <v/>
      </c>
      <c r="AV16" s="46">
        <f>MIN($D$66*AU16,$D$14)</f>
        <v/>
      </c>
      <c r="AW16" s="46">
        <f>(0.85*$D$11*AV16*$D$15+SUMPRODUCT($AH$8:$AH$17,(ABS(6000*(1-$AG$8:$AG$17/AU16)+$D$12)-ABS(6000*(1-$AG$8:$AG$17/AU16)-$D$12))/2-0.85*$D$11*($AG$8:$AG$17&lt;AV16)))/1000</f>
        <v/>
      </c>
      <c r="AX16" s="46">
        <f>(0.85*$D$11*AV16*$D$15*($D$14/2-AV16/2)+SUMPRODUCT($AH$8:$AH$17,(ABS(6000*(1-$AG$8:$AG$17/AU16)+$D$12)-ABS(6000*(1-$AG$8:$AG$17/AU16)-$D$12))/2-0.85*$D$11*($AG$8:$AG$17&lt;AV16),$D$14/2-$AG$8:$AG$17))/100000</f>
        <v/>
      </c>
      <c r="AY16" s="46">
        <f>IF(AW16&lt;=0,0.9,MAX(0.7,0.9/(1+0.2*AW16/$D$72)))</f>
        <v/>
      </c>
      <c r="AZ16" s="46">
        <f>MIN(AY16*AW16,$D$68)</f>
        <v/>
      </c>
      <c r="BA16" s="46">
        <f>MAX(0,AY16*AX16)</f>
        <v/>
      </c>
      <c r="BB16" s="46">
        <f>IF(BC16&gt;0,-BA16/BC16,-1E+9)</f>
        <v/>
      </c>
      <c r="BC16" s="46">
        <f>AY16*AW16</f>
        <v/>
      </c>
    </row>
    <row r="17" ht="13.5" customHeight="1">
      <c r="B17" s="9" t="inlineStr">
        <is>
          <t>Varilla longitudinal</t>
        </is>
      </c>
      <c r="C17" s="22" t="inlineStr">
        <is>
          <t>Ø</t>
        </is>
      </c>
      <c r="D17" s="31" t="inlineStr">
        <is>
          <t>5/8"</t>
        </is>
      </c>
      <c r="E17" s="24" t="inlineStr"/>
      <c r="AD17" s="45" t="n">
        <v>10</v>
      </c>
      <c r="AE17" s="45">
        <f>IF(10&lt;=$D$19,$D$61+($D$15-2*$D$61)*(10-1)/($D$19-1),0)</f>
        <v/>
      </c>
      <c r="AF17" s="45">
        <f>IF(10&lt;=$D$19,IF(OR(10=1,10=$D$19),$D$18,2)*$D$53,0)</f>
        <v/>
      </c>
      <c r="AG17" s="45">
        <f>IF(10&lt;=$D$18,$D$61+($D$14-2*$D$61)*(10-1)/($D$18-1),0)</f>
        <v/>
      </c>
      <c r="AH17" s="45">
        <f>IF(10&lt;=$D$18,IF(OR(10=1,10=$D$18),$D$19,2)*$D$53,0)</f>
        <v/>
      </c>
      <c r="AK17" s="46">
        <f>0.2*$D$15</f>
        <v/>
      </c>
      <c r="AL17" s="46">
        <f>MIN($D$66*AK17,$D$15)</f>
        <v/>
      </c>
      <c r="AM17" s="46">
        <f>(0.85*$D$11*AL17*$D$14+SUMPRODUCT($AF$8:$AF$17,(ABS(6000*(1-$AE$8:$AE$17/AK17)+$D$12)-ABS(6000*(1-$AE$8:$AE$17/AK17)-$D$12))/2-0.85*$D$11*($AE$8:$AE$17&lt;AL17)))/1000</f>
        <v/>
      </c>
      <c r="AN17" s="46">
        <f>(0.85*$D$11*AL17*$D$14*($D$15/2-AL17/2)+SUMPRODUCT($AF$8:$AF$17,(ABS(6000*(1-$AE$8:$AE$17/AK17)+$D$12)-ABS(6000*(1-$AE$8:$AE$17/AK17)-$D$12))/2-0.85*$D$11*($AE$8:$AE$17&lt;AL17),$D$15/2-$AE$8:$AE$17))/100000</f>
        <v/>
      </c>
      <c r="AO17" s="46">
        <f>IF(AM17&lt;=0,0.9,MAX(0.7,0.9/(1+0.2*AM17/$D$71)))</f>
        <v/>
      </c>
      <c r="AP17" s="46">
        <f>MIN(AO17*AM17,$D$68)</f>
        <v/>
      </c>
      <c r="AQ17" s="46">
        <f>MAX(0,AO17*AN17)</f>
        <v/>
      </c>
      <c r="AR17" s="46">
        <f>IF(AS17&gt;0,-AQ17/AS17,-1E+9)</f>
        <v/>
      </c>
      <c r="AS17" s="46">
        <f>AO17*AM17</f>
        <v/>
      </c>
      <c r="AU17" s="46">
        <f>0.2*$D$14</f>
        <v/>
      </c>
      <c r="AV17" s="46">
        <f>MIN($D$66*AU17,$D$14)</f>
        <v/>
      </c>
      <c r="AW17" s="46">
        <f>(0.85*$D$11*AV17*$D$15+SUMPRODUCT($AH$8:$AH$17,(ABS(6000*(1-$AG$8:$AG$17/AU17)+$D$12)-ABS(6000*(1-$AG$8:$AG$17/AU17)-$D$12))/2-0.85*$D$11*($AG$8:$AG$17&lt;AV17)))/1000</f>
        <v/>
      </c>
      <c r="AX17" s="46">
        <f>(0.85*$D$11*AV17*$D$15*($D$14/2-AV17/2)+SUMPRODUCT($AH$8:$AH$17,(ABS(6000*(1-$AG$8:$AG$17/AU17)+$D$12)-ABS(6000*(1-$AG$8:$AG$17/AU17)-$D$12))/2-0.85*$D$11*($AG$8:$AG$17&lt;AV17),$D$14/2-$AG$8:$AG$17))/100000</f>
        <v/>
      </c>
      <c r="AY17" s="46">
        <f>IF(AW17&lt;=0,0.9,MAX(0.7,0.9/(1+0.2*AW17/$D$72)))</f>
        <v/>
      </c>
      <c r="AZ17" s="46">
        <f>MIN(AY17*AW17,$D$68)</f>
        <v/>
      </c>
      <c r="BA17" s="46">
        <f>MAX(0,AY17*AX17)</f>
        <v/>
      </c>
      <c r="BB17" s="46">
        <f>IF(BC17&gt;0,-BA17/BC17,-1E+9)</f>
        <v/>
      </c>
      <c r="BC17" s="46">
        <f>AY17*AW17</f>
        <v/>
      </c>
    </row>
    <row r="18" ht="24" customHeight="1">
      <c r="B18" s="9" t="inlineStr">
        <is>
          <t>Varillas por cara paralela a X (incluye esquinas)</t>
        </is>
      </c>
      <c r="C18" s="22" t="inlineStr">
        <is>
          <t>nx</t>
        </is>
      </c>
      <c r="D18" s="23" t="n">
        <v>3</v>
      </c>
      <c r="E18" s="24" t="inlineStr"/>
      <c r="F18" s="27" t="inlineStr">
        <is>
          <t>Cara de longitud B</t>
        </is>
      </c>
      <c r="AK18" s="46">
        <f>0.25*$D$15</f>
        <v/>
      </c>
      <c r="AL18" s="46">
        <f>MIN($D$66*AK18,$D$15)</f>
        <v/>
      </c>
      <c r="AM18" s="46">
        <f>(0.85*$D$11*AL18*$D$14+SUMPRODUCT($AF$8:$AF$17,(ABS(6000*(1-$AE$8:$AE$17/AK18)+$D$12)-ABS(6000*(1-$AE$8:$AE$17/AK18)-$D$12))/2-0.85*$D$11*($AE$8:$AE$17&lt;AL18)))/1000</f>
        <v/>
      </c>
      <c r="AN18" s="46">
        <f>(0.85*$D$11*AL18*$D$14*($D$15/2-AL18/2)+SUMPRODUCT($AF$8:$AF$17,(ABS(6000*(1-$AE$8:$AE$17/AK18)+$D$12)-ABS(6000*(1-$AE$8:$AE$17/AK18)-$D$12))/2-0.85*$D$11*($AE$8:$AE$17&lt;AL18),$D$15/2-$AE$8:$AE$17))/100000</f>
        <v/>
      </c>
      <c r="AO18" s="46">
        <f>IF(AM18&lt;=0,0.9,MAX(0.7,0.9/(1+0.2*AM18/$D$71)))</f>
        <v/>
      </c>
      <c r="AP18" s="46">
        <f>MIN(AO18*AM18,$D$68)</f>
        <v/>
      </c>
      <c r="AQ18" s="46">
        <f>MAX(0,AO18*AN18)</f>
        <v/>
      </c>
      <c r="AR18" s="46">
        <f>IF(AS18&gt;0,-AQ18/AS18,-1E+9)</f>
        <v/>
      </c>
      <c r="AS18" s="46">
        <f>AO18*AM18</f>
        <v/>
      </c>
      <c r="AU18" s="46">
        <f>0.25*$D$14</f>
        <v/>
      </c>
      <c r="AV18" s="46">
        <f>MIN($D$66*AU18,$D$14)</f>
        <v/>
      </c>
      <c r="AW18" s="46">
        <f>(0.85*$D$11*AV18*$D$15+SUMPRODUCT($AH$8:$AH$17,(ABS(6000*(1-$AG$8:$AG$17/AU18)+$D$12)-ABS(6000*(1-$AG$8:$AG$17/AU18)-$D$12))/2-0.85*$D$11*($AG$8:$AG$17&lt;AV18)))/1000</f>
        <v/>
      </c>
      <c r="AX18" s="46">
        <f>(0.85*$D$11*AV18*$D$15*($D$14/2-AV18/2)+SUMPRODUCT($AH$8:$AH$17,(ABS(6000*(1-$AG$8:$AG$17/AU18)+$D$12)-ABS(6000*(1-$AG$8:$AG$17/AU18)-$D$12))/2-0.85*$D$11*($AG$8:$AG$17&lt;AV18),$D$14/2-$AG$8:$AG$17))/100000</f>
        <v/>
      </c>
      <c r="AY18" s="46">
        <f>IF(AW18&lt;=0,0.9,MAX(0.7,0.9/(1+0.2*AW18/$D$72)))</f>
        <v/>
      </c>
      <c r="AZ18" s="46">
        <f>MIN(AY18*AW18,$D$68)</f>
        <v/>
      </c>
      <c r="BA18" s="46">
        <f>MAX(0,AY18*AX18)</f>
        <v/>
      </c>
      <c r="BB18" s="46">
        <f>IF(BC18&gt;0,-BA18/BC18,-1E+9)</f>
        <v/>
      </c>
      <c r="BC18" s="46">
        <f>AY18*AW18</f>
        <v/>
      </c>
    </row>
    <row r="19" ht="24" customHeight="1">
      <c r="B19" s="9" t="inlineStr">
        <is>
          <t>Varillas por cara paralela a Y (incluye esquinas)</t>
        </is>
      </c>
      <c r="C19" s="22" t="inlineStr">
        <is>
          <t>ny</t>
        </is>
      </c>
      <c r="D19" s="23" t="n">
        <v>4</v>
      </c>
      <c r="E19" s="24" t="inlineStr"/>
      <c r="F19" s="27" t="inlineStr">
        <is>
          <t>Cara de longitud H</t>
        </is>
      </c>
      <c r="AK19" s="46">
        <f>0.3*$D$15</f>
        <v/>
      </c>
      <c r="AL19" s="46">
        <f>MIN($D$66*AK19,$D$15)</f>
        <v/>
      </c>
      <c r="AM19" s="46">
        <f>(0.85*$D$11*AL19*$D$14+SUMPRODUCT($AF$8:$AF$17,(ABS(6000*(1-$AE$8:$AE$17/AK19)+$D$12)-ABS(6000*(1-$AE$8:$AE$17/AK19)-$D$12))/2-0.85*$D$11*($AE$8:$AE$17&lt;AL19)))/1000</f>
        <v/>
      </c>
      <c r="AN19" s="46">
        <f>(0.85*$D$11*AL19*$D$14*($D$15/2-AL19/2)+SUMPRODUCT($AF$8:$AF$17,(ABS(6000*(1-$AE$8:$AE$17/AK19)+$D$12)-ABS(6000*(1-$AE$8:$AE$17/AK19)-$D$12))/2-0.85*$D$11*($AE$8:$AE$17&lt;AL19),$D$15/2-$AE$8:$AE$17))/100000</f>
        <v/>
      </c>
      <c r="AO19" s="46">
        <f>IF(AM19&lt;=0,0.9,MAX(0.7,0.9/(1+0.2*AM19/$D$71)))</f>
        <v/>
      </c>
      <c r="AP19" s="46">
        <f>MIN(AO19*AM19,$D$68)</f>
        <v/>
      </c>
      <c r="AQ19" s="46">
        <f>MAX(0,AO19*AN19)</f>
        <v/>
      </c>
      <c r="AR19" s="46">
        <f>IF(AS19&gt;0,-AQ19/AS19,-1E+9)</f>
        <v/>
      </c>
      <c r="AS19" s="46">
        <f>AO19*AM19</f>
        <v/>
      </c>
      <c r="AU19" s="46">
        <f>0.3*$D$14</f>
        <v/>
      </c>
      <c r="AV19" s="46">
        <f>MIN($D$66*AU19,$D$14)</f>
        <v/>
      </c>
      <c r="AW19" s="46">
        <f>(0.85*$D$11*AV19*$D$15+SUMPRODUCT($AH$8:$AH$17,(ABS(6000*(1-$AG$8:$AG$17/AU19)+$D$12)-ABS(6000*(1-$AG$8:$AG$17/AU19)-$D$12))/2-0.85*$D$11*($AG$8:$AG$17&lt;AV19)))/1000</f>
        <v/>
      </c>
      <c r="AX19" s="46">
        <f>(0.85*$D$11*AV19*$D$15*($D$14/2-AV19/2)+SUMPRODUCT($AH$8:$AH$17,(ABS(6000*(1-$AG$8:$AG$17/AU19)+$D$12)-ABS(6000*(1-$AG$8:$AG$17/AU19)-$D$12))/2-0.85*$D$11*($AG$8:$AG$17&lt;AV19),$D$14/2-$AG$8:$AG$17))/100000</f>
        <v/>
      </c>
      <c r="AY19" s="46">
        <f>IF(AW19&lt;=0,0.9,MAX(0.7,0.9/(1+0.2*AW19/$D$72)))</f>
        <v/>
      </c>
      <c r="AZ19" s="46">
        <f>MIN(AY19*AW19,$D$68)</f>
        <v/>
      </c>
      <c r="BA19" s="46">
        <f>MAX(0,AY19*AX19)</f>
        <v/>
      </c>
      <c r="BB19" s="46">
        <f>IF(BC19&gt;0,-BA19/BC19,-1E+9)</f>
        <v/>
      </c>
      <c r="BC19" s="46">
        <f>AY19*AW19</f>
        <v/>
      </c>
    </row>
    <row r="20" ht="13.5" customHeight="1">
      <c r="B20" s="9" t="inlineStr">
        <is>
          <t>Varilla del estribo</t>
        </is>
      </c>
      <c r="C20" s="22" t="inlineStr">
        <is>
          <t>Øe</t>
        </is>
      </c>
      <c r="D20" s="31" t="inlineStr">
        <is>
          <t>3/8"</t>
        </is>
      </c>
      <c r="E20" s="24" t="inlineStr"/>
      <c r="AK20" s="46">
        <f>0.35*$D$15</f>
        <v/>
      </c>
      <c r="AL20" s="46">
        <f>MIN($D$66*AK20,$D$15)</f>
        <v/>
      </c>
      <c r="AM20" s="46">
        <f>(0.85*$D$11*AL20*$D$14+SUMPRODUCT($AF$8:$AF$17,(ABS(6000*(1-$AE$8:$AE$17/AK20)+$D$12)-ABS(6000*(1-$AE$8:$AE$17/AK20)-$D$12))/2-0.85*$D$11*($AE$8:$AE$17&lt;AL20)))/1000</f>
        <v/>
      </c>
      <c r="AN20" s="46">
        <f>(0.85*$D$11*AL20*$D$14*($D$15/2-AL20/2)+SUMPRODUCT($AF$8:$AF$17,(ABS(6000*(1-$AE$8:$AE$17/AK20)+$D$12)-ABS(6000*(1-$AE$8:$AE$17/AK20)-$D$12))/2-0.85*$D$11*($AE$8:$AE$17&lt;AL20),$D$15/2-$AE$8:$AE$17))/100000</f>
        <v/>
      </c>
      <c r="AO20" s="46">
        <f>IF(AM20&lt;=0,0.9,MAX(0.7,0.9/(1+0.2*AM20/$D$71)))</f>
        <v/>
      </c>
      <c r="AP20" s="46">
        <f>MIN(AO20*AM20,$D$68)</f>
        <v/>
      </c>
      <c r="AQ20" s="46">
        <f>MAX(0,AO20*AN20)</f>
        <v/>
      </c>
      <c r="AR20" s="46">
        <f>IF(AS20&gt;0,-AQ20/AS20,-1E+9)</f>
        <v/>
      </c>
      <c r="AS20" s="46">
        <f>AO20*AM20</f>
        <v/>
      </c>
      <c r="AU20" s="46">
        <f>0.35*$D$14</f>
        <v/>
      </c>
      <c r="AV20" s="46">
        <f>MIN($D$66*AU20,$D$14)</f>
        <v/>
      </c>
      <c r="AW20" s="46">
        <f>(0.85*$D$11*AV20*$D$15+SUMPRODUCT($AH$8:$AH$17,(ABS(6000*(1-$AG$8:$AG$17/AU20)+$D$12)-ABS(6000*(1-$AG$8:$AG$17/AU20)-$D$12))/2-0.85*$D$11*($AG$8:$AG$17&lt;AV20)))/1000</f>
        <v/>
      </c>
      <c r="AX20" s="46">
        <f>(0.85*$D$11*AV20*$D$15*($D$14/2-AV20/2)+SUMPRODUCT($AH$8:$AH$17,(ABS(6000*(1-$AG$8:$AG$17/AU20)+$D$12)-ABS(6000*(1-$AG$8:$AG$17/AU20)-$D$12))/2-0.85*$D$11*($AG$8:$AG$17&lt;AV20),$D$14/2-$AG$8:$AG$17))/100000</f>
        <v/>
      </c>
      <c r="AY20" s="46">
        <f>IF(AW20&lt;=0,0.9,MAX(0.7,0.9/(1+0.2*AW20/$D$72)))</f>
        <v/>
      </c>
      <c r="AZ20" s="46">
        <f>MIN(AY20*AW20,$D$68)</f>
        <v/>
      </c>
      <c r="BA20" s="46">
        <f>MAX(0,AY20*AX20)</f>
        <v/>
      </c>
      <c r="BB20" s="46">
        <f>IF(BC20&gt;0,-BA20/BC20,-1E+9)</f>
        <v/>
      </c>
      <c r="BC20" s="46">
        <f>AY20*AW20</f>
        <v/>
      </c>
    </row>
    <row r="21" ht="13.5" customHeight="1">
      <c r="B21" s="9" t="inlineStr">
        <is>
          <t>Ramas paralelas a H (resisten cortante en Y)</t>
        </is>
      </c>
      <c r="C21" s="22" t="inlineStr">
        <is>
          <t>nY</t>
        </is>
      </c>
      <c r="D21" s="23" t="n">
        <v>2</v>
      </c>
      <c r="E21" s="24" t="inlineStr"/>
      <c r="AK21" s="46">
        <f>0.375*$D$15</f>
        <v/>
      </c>
      <c r="AL21" s="46">
        <f>MIN($D$66*AK21,$D$15)</f>
        <v/>
      </c>
      <c r="AM21" s="46">
        <f>(0.85*$D$11*AL21*$D$14+SUMPRODUCT($AF$8:$AF$17,(ABS(6000*(1-$AE$8:$AE$17/AK21)+$D$12)-ABS(6000*(1-$AE$8:$AE$17/AK21)-$D$12))/2-0.85*$D$11*($AE$8:$AE$17&lt;AL21)))/1000</f>
        <v/>
      </c>
      <c r="AN21" s="46">
        <f>(0.85*$D$11*AL21*$D$14*($D$15/2-AL21/2)+SUMPRODUCT($AF$8:$AF$17,(ABS(6000*(1-$AE$8:$AE$17/AK21)+$D$12)-ABS(6000*(1-$AE$8:$AE$17/AK21)-$D$12))/2-0.85*$D$11*($AE$8:$AE$17&lt;AL21),$D$15/2-$AE$8:$AE$17))/100000</f>
        <v/>
      </c>
      <c r="AO21" s="46">
        <f>IF(AM21&lt;=0,0.9,MAX(0.7,0.9/(1+0.2*AM21/$D$71)))</f>
        <v/>
      </c>
      <c r="AP21" s="46">
        <f>MIN(AO21*AM21,$D$68)</f>
        <v/>
      </c>
      <c r="AQ21" s="46">
        <f>MAX(0,AO21*AN21)</f>
        <v/>
      </c>
      <c r="AR21" s="46">
        <f>IF(AS21&gt;0,-AQ21/AS21,-1E+9)</f>
        <v/>
      </c>
      <c r="AS21" s="46">
        <f>AO21*AM21</f>
        <v/>
      </c>
      <c r="AU21" s="46">
        <f>0.375*$D$14</f>
        <v/>
      </c>
      <c r="AV21" s="46">
        <f>MIN($D$66*AU21,$D$14)</f>
        <v/>
      </c>
      <c r="AW21" s="46">
        <f>(0.85*$D$11*AV21*$D$15+SUMPRODUCT($AH$8:$AH$17,(ABS(6000*(1-$AG$8:$AG$17/AU21)+$D$12)-ABS(6000*(1-$AG$8:$AG$17/AU21)-$D$12))/2-0.85*$D$11*($AG$8:$AG$17&lt;AV21)))/1000</f>
        <v/>
      </c>
      <c r="AX21" s="46">
        <f>(0.85*$D$11*AV21*$D$15*($D$14/2-AV21/2)+SUMPRODUCT($AH$8:$AH$17,(ABS(6000*(1-$AG$8:$AG$17/AU21)+$D$12)-ABS(6000*(1-$AG$8:$AG$17/AU21)-$D$12))/2-0.85*$D$11*($AG$8:$AG$17&lt;AV21),$D$14/2-$AG$8:$AG$17))/100000</f>
        <v/>
      </c>
      <c r="AY21" s="46">
        <f>IF(AW21&lt;=0,0.9,MAX(0.7,0.9/(1+0.2*AW21/$D$72)))</f>
        <v/>
      </c>
      <c r="AZ21" s="46">
        <f>MIN(AY21*AW21,$D$68)</f>
        <v/>
      </c>
      <c r="BA21" s="46">
        <f>MAX(0,AY21*AX21)</f>
        <v/>
      </c>
      <c r="BB21" s="46">
        <f>IF(BC21&gt;0,-BA21/BC21,-1E+9)</f>
        <v/>
      </c>
      <c r="BC21" s="46">
        <f>AY21*AW21</f>
        <v/>
      </c>
    </row>
    <row r="22" ht="13.5" customHeight="1">
      <c r="B22" s="9" t="inlineStr">
        <is>
          <t>Ramas paralelas a B (resisten cortante en X)</t>
        </is>
      </c>
      <c r="C22" s="22" t="inlineStr">
        <is>
          <t>nX</t>
        </is>
      </c>
      <c r="D22" s="23" t="n">
        <v>3</v>
      </c>
      <c r="E22" s="24" t="inlineStr"/>
      <c r="F22" s="27" t="inlineStr">
        <is>
          <t>Incluye grapas</t>
        </is>
      </c>
      <c r="AK22" s="46">
        <f>0.4*$D$15</f>
        <v/>
      </c>
      <c r="AL22" s="46">
        <f>MIN($D$66*AK22,$D$15)</f>
        <v/>
      </c>
      <c r="AM22" s="46">
        <f>(0.85*$D$11*AL22*$D$14+SUMPRODUCT($AF$8:$AF$17,(ABS(6000*(1-$AE$8:$AE$17/AK22)+$D$12)-ABS(6000*(1-$AE$8:$AE$17/AK22)-$D$12))/2-0.85*$D$11*($AE$8:$AE$17&lt;AL22)))/1000</f>
        <v/>
      </c>
      <c r="AN22" s="46">
        <f>(0.85*$D$11*AL22*$D$14*($D$15/2-AL22/2)+SUMPRODUCT($AF$8:$AF$17,(ABS(6000*(1-$AE$8:$AE$17/AK22)+$D$12)-ABS(6000*(1-$AE$8:$AE$17/AK22)-$D$12))/2-0.85*$D$11*($AE$8:$AE$17&lt;AL22),$D$15/2-$AE$8:$AE$17))/100000</f>
        <v/>
      </c>
      <c r="AO22" s="46">
        <f>IF(AM22&lt;=0,0.9,MAX(0.7,0.9/(1+0.2*AM22/$D$71)))</f>
        <v/>
      </c>
      <c r="AP22" s="46">
        <f>MIN(AO22*AM22,$D$68)</f>
        <v/>
      </c>
      <c r="AQ22" s="46">
        <f>MAX(0,AO22*AN22)</f>
        <v/>
      </c>
      <c r="AR22" s="46">
        <f>IF(AS22&gt;0,-AQ22/AS22,-1E+9)</f>
        <v/>
      </c>
      <c r="AS22" s="46">
        <f>AO22*AM22</f>
        <v/>
      </c>
      <c r="AU22" s="46">
        <f>0.4*$D$14</f>
        <v/>
      </c>
      <c r="AV22" s="46">
        <f>MIN($D$66*AU22,$D$14)</f>
        <v/>
      </c>
      <c r="AW22" s="46">
        <f>(0.85*$D$11*AV22*$D$15+SUMPRODUCT($AH$8:$AH$17,(ABS(6000*(1-$AG$8:$AG$17/AU22)+$D$12)-ABS(6000*(1-$AG$8:$AG$17/AU22)-$D$12))/2-0.85*$D$11*($AG$8:$AG$17&lt;AV22)))/1000</f>
        <v/>
      </c>
      <c r="AX22" s="46">
        <f>(0.85*$D$11*AV22*$D$15*($D$14/2-AV22/2)+SUMPRODUCT($AH$8:$AH$17,(ABS(6000*(1-$AG$8:$AG$17/AU22)+$D$12)-ABS(6000*(1-$AG$8:$AG$17/AU22)-$D$12))/2-0.85*$D$11*($AG$8:$AG$17&lt;AV22),$D$14/2-$AG$8:$AG$17))/100000</f>
        <v/>
      </c>
      <c r="AY22" s="46">
        <f>IF(AW22&lt;=0,0.9,MAX(0.7,0.9/(1+0.2*AW22/$D$72)))</f>
        <v/>
      </c>
      <c r="AZ22" s="46">
        <f>MIN(AY22*AW22,$D$68)</f>
        <v/>
      </c>
      <c r="BA22" s="46">
        <f>MAX(0,AY22*AX22)</f>
        <v/>
      </c>
      <c r="BB22" s="46">
        <f>IF(BC22&gt;0,-BA22/BC22,-1E+9)</f>
        <v/>
      </c>
      <c r="BC22" s="46">
        <f>AY22*AW22</f>
        <v/>
      </c>
    </row>
    <row r="23">
      <c r="B23" s="4" t="inlineStr">
        <is>
          <t>Longitudes y esbeltez</t>
        </is>
      </c>
      <c r="AK23" s="46">
        <f>0.425*$D$15</f>
        <v/>
      </c>
      <c r="AL23" s="46">
        <f>MIN($D$66*AK23,$D$15)</f>
        <v/>
      </c>
      <c r="AM23" s="46">
        <f>(0.85*$D$11*AL23*$D$14+SUMPRODUCT($AF$8:$AF$17,(ABS(6000*(1-$AE$8:$AE$17/AK23)+$D$12)-ABS(6000*(1-$AE$8:$AE$17/AK23)-$D$12))/2-0.85*$D$11*($AE$8:$AE$17&lt;AL23)))/1000</f>
        <v/>
      </c>
      <c r="AN23" s="46">
        <f>(0.85*$D$11*AL23*$D$14*($D$15/2-AL23/2)+SUMPRODUCT($AF$8:$AF$17,(ABS(6000*(1-$AE$8:$AE$17/AK23)+$D$12)-ABS(6000*(1-$AE$8:$AE$17/AK23)-$D$12))/2-0.85*$D$11*($AE$8:$AE$17&lt;AL23),$D$15/2-$AE$8:$AE$17))/100000</f>
        <v/>
      </c>
      <c r="AO23" s="46">
        <f>IF(AM23&lt;=0,0.9,MAX(0.7,0.9/(1+0.2*AM23/$D$71)))</f>
        <v/>
      </c>
      <c r="AP23" s="46">
        <f>MIN(AO23*AM23,$D$68)</f>
        <v/>
      </c>
      <c r="AQ23" s="46">
        <f>MAX(0,AO23*AN23)</f>
        <v/>
      </c>
      <c r="AR23" s="46">
        <f>IF(AS23&gt;0,-AQ23/AS23,-1E+9)</f>
        <v/>
      </c>
      <c r="AS23" s="46">
        <f>AO23*AM23</f>
        <v/>
      </c>
      <c r="AU23" s="46">
        <f>0.425*$D$14</f>
        <v/>
      </c>
      <c r="AV23" s="46">
        <f>MIN($D$66*AU23,$D$14)</f>
        <v/>
      </c>
      <c r="AW23" s="46">
        <f>(0.85*$D$11*AV23*$D$15+SUMPRODUCT($AH$8:$AH$17,(ABS(6000*(1-$AG$8:$AG$17/AU23)+$D$12)-ABS(6000*(1-$AG$8:$AG$17/AU23)-$D$12))/2-0.85*$D$11*($AG$8:$AG$17&lt;AV23)))/1000</f>
        <v/>
      </c>
      <c r="AX23" s="46">
        <f>(0.85*$D$11*AV23*$D$15*($D$14/2-AV23/2)+SUMPRODUCT($AH$8:$AH$17,(ABS(6000*(1-$AG$8:$AG$17/AU23)+$D$12)-ABS(6000*(1-$AG$8:$AG$17/AU23)-$D$12))/2-0.85*$D$11*($AG$8:$AG$17&lt;AV23),$D$14/2-$AG$8:$AG$17))/100000</f>
        <v/>
      </c>
      <c r="AY23" s="46">
        <f>IF(AW23&lt;=0,0.9,MAX(0.7,0.9/(1+0.2*AW23/$D$72)))</f>
        <v/>
      </c>
      <c r="AZ23" s="46">
        <f>MIN(AY23*AW23,$D$68)</f>
        <v/>
      </c>
      <c r="BA23" s="46">
        <f>MAX(0,AY23*AX23)</f>
        <v/>
      </c>
      <c r="BB23" s="46">
        <f>IF(BC23&gt;0,-BA23/BC23,-1E+9)</f>
        <v/>
      </c>
      <c r="BC23" s="46">
        <f>AY23*AW23</f>
        <v/>
      </c>
    </row>
    <row r="24" ht="13.5" customHeight="1">
      <c r="B24" s="9" t="inlineStr">
        <is>
          <t>Luz libre de la columna</t>
        </is>
      </c>
      <c r="C24" s="22" t="inlineStr">
        <is>
          <t>hn</t>
        </is>
      </c>
      <c r="D24" s="25" t="n">
        <v>2.6</v>
      </c>
      <c r="E24" s="24" t="inlineStr">
        <is>
          <t>m</t>
        </is>
      </c>
      <c r="AK24" s="46">
        <f>0.45*$D$15</f>
        <v/>
      </c>
      <c r="AL24" s="46">
        <f>MIN($D$66*AK24,$D$15)</f>
        <v/>
      </c>
      <c r="AM24" s="46">
        <f>(0.85*$D$11*AL24*$D$14+SUMPRODUCT($AF$8:$AF$17,(ABS(6000*(1-$AE$8:$AE$17/AK24)+$D$12)-ABS(6000*(1-$AE$8:$AE$17/AK24)-$D$12))/2-0.85*$D$11*($AE$8:$AE$17&lt;AL24)))/1000</f>
        <v/>
      </c>
      <c r="AN24" s="46">
        <f>(0.85*$D$11*AL24*$D$14*($D$15/2-AL24/2)+SUMPRODUCT($AF$8:$AF$17,(ABS(6000*(1-$AE$8:$AE$17/AK24)+$D$12)-ABS(6000*(1-$AE$8:$AE$17/AK24)-$D$12))/2-0.85*$D$11*($AE$8:$AE$17&lt;AL24),$D$15/2-$AE$8:$AE$17))/100000</f>
        <v/>
      </c>
      <c r="AO24" s="46">
        <f>IF(AM24&lt;=0,0.9,MAX(0.7,0.9/(1+0.2*AM24/$D$71)))</f>
        <v/>
      </c>
      <c r="AP24" s="46">
        <f>MIN(AO24*AM24,$D$68)</f>
        <v/>
      </c>
      <c r="AQ24" s="46">
        <f>MAX(0,AO24*AN24)</f>
        <v/>
      </c>
      <c r="AR24" s="46">
        <f>IF(AS24&gt;0,-AQ24/AS24,-1E+9)</f>
        <v/>
      </c>
      <c r="AS24" s="46">
        <f>AO24*AM24</f>
        <v/>
      </c>
      <c r="AU24" s="46">
        <f>0.45*$D$14</f>
        <v/>
      </c>
      <c r="AV24" s="46">
        <f>MIN($D$66*AU24,$D$14)</f>
        <v/>
      </c>
      <c r="AW24" s="46">
        <f>(0.85*$D$11*AV24*$D$15+SUMPRODUCT($AH$8:$AH$17,(ABS(6000*(1-$AG$8:$AG$17/AU24)+$D$12)-ABS(6000*(1-$AG$8:$AG$17/AU24)-$D$12))/2-0.85*$D$11*($AG$8:$AG$17&lt;AV24)))/1000</f>
        <v/>
      </c>
      <c r="AX24" s="46">
        <f>(0.85*$D$11*AV24*$D$15*($D$14/2-AV24/2)+SUMPRODUCT($AH$8:$AH$17,(ABS(6000*(1-$AG$8:$AG$17/AU24)+$D$12)-ABS(6000*(1-$AG$8:$AG$17/AU24)-$D$12))/2-0.85*$D$11*($AG$8:$AG$17&lt;AV24),$D$14/2-$AG$8:$AG$17))/100000</f>
        <v/>
      </c>
      <c r="AY24" s="46">
        <f>IF(AW24&lt;=0,0.9,MAX(0.7,0.9/(1+0.2*AW24/$D$72)))</f>
        <v/>
      </c>
      <c r="AZ24" s="46">
        <f>MIN(AY24*AW24,$D$68)</f>
        <v/>
      </c>
      <c r="BA24" s="46">
        <f>MAX(0,AY24*AX24)</f>
        <v/>
      </c>
      <c r="BB24" s="46">
        <f>IF(BC24&gt;0,-BA24/BC24,-1E+9)</f>
        <v/>
      </c>
      <c r="BC24" s="46">
        <f>AY24*AW24</f>
        <v/>
      </c>
    </row>
    <row r="25" ht="13.5" customHeight="1">
      <c r="B25" s="9" t="inlineStr">
        <is>
          <t>Factor de longitud efectiva</t>
        </is>
      </c>
      <c r="C25" s="22" t="inlineStr">
        <is>
          <t>k</t>
        </is>
      </c>
      <c r="D25" s="25" t="n">
        <v>1</v>
      </c>
      <c r="E25" s="24" t="inlineStr"/>
      <c r="F25" s="27" t="inlineStr">
        <is>
          <t>E.060 10.12.1: k = 1.0 si es arriostrada</t>
        </is>
      </c>
      <c r="AK25" s="46">
        <f>0.475*$D$15</f>
        <v/>
      </c>
      <c r="AL25" s="46">
        <f>MIN($D$66*AK25,$D$15)</f>
        <v/>
      </c>
      <c r="AM25" s="46">
        <f>(0.85*$D$11*AL25*$D$14+SUMPRODUCT($AF$8:$AF$17,(ABS(6000*(1-$AE$8:$AE$17/AK25)+$D$12)-ABS(6000*(1-$AE$8:$AE$17/AK25)-$D$12))/2-0.85*$D$11*($AE$8:$AE$17&lt;AL25)))/1000</f>
        <v/>
      </c>
      <c r="AN25" s="46">
        <f>(0.85*$D$11*AL25*$D$14*($D$15/2-AL25/2)+SUMPRODUCT($AF$8:$AF$17,(ABS(6000*(1-$AE$8:$AE$17/AK25)+$D$12)-ABS(6000*(1-$AE$8:$AE$17/AK25)-$D$12))/2-0.85*$D$11*($AE$8:$AE$17&lt;AL25),$D$15/2-$AE$8:$AE$17))/100000</f>
        <v/>
      </c>
      <c r="AO25" s="46">
        <f>IF(AM25&lt;=0,0.9,MAX(0.7,0.9/(1+0.2*AM25/$D$71)))</f>
        <v/>
      </c>
      <c r="AP25" s="46">
        <f>MIN(AO25*AM25,$D$68)</f>
        <v/>
      </c>
      <c r="AQ25" s="46">
        <f>MAX(0,AO25*AN25)</f>
        <v/>
      </c>
      <c r="AR25" s="46">
        <f>IF(AS25&gt;0,-AQ25/AS25,-1E+9)</f>
        <v/>
      </c>
      <c r="AS25" s="46">
        <f>AO25*AM25</f>
        <v/>
      </c>
      <c r="AU25" s="46">
        <f>0.475*$D$14</f>
        <v/>
      </c>
      <c r="AV25" s="46">
        <f>MIN($D$66*AU25,$D$14)</f>
        <v/>
      </c>
      <c r="AW25" s="46">
        <f>(0.85*$D$11*AV25*$D$15+SUMPRODUCT($AH$8:$AH$17,(ABS(6000*(1-$AG$8:$AG$17/AU25)+$D$12)-ABS(6000*(1-$AG$8:$AG$17/AU25)-$D$12))/2-0.85*$D$11*($AG$8:$AG$17&lt;AV25)))/1000</f>
        <v/>
      </c>
      <c r="AX25" s="46">
        <f>(0.85*$D$11*AV25*$D$15*($D$14/2-AV25/2)+SUMPRODUCT($AH$8:$AH$17,(ABS(6000*(1-$AG$8:$AG$17/AU25)+$D$12)-ABS(6000*(1-$AG$8:$AG$17/AU25)-$D$12))/2-0.85*$D$11*($AG$8:$AG$17&lt;AV25),$D$14/2-$AG$8:$AG$17))/100000</f>
        <v/>
      </c>
      <c r="AY25" s="46">
        <f>IF(AW25&lt;=0,0.9,MAX(0.7,0.9/(1+0.2*AW25/$D$72)))</f>
        <v/>
      </c>
      <c r="AZ25" s="46">
        <f>MIN(AY25*AW25,$D$68)</f>
        <v/>
      </c>
      <c r="BA25" s="46">
        <f>MAX(0,AY25*AX25)</f>
        <v/>
      </c>
      <c r="BB25" s="46">
        <f>IF(BC25&gt;0,-BA25/BC25,-1E+9)</f>
        <v/>
      </c>
      <c r="BC25" s="46">
        <f>AY25*AW25</f>
        <v/>
      </c>
    </row>
    <row r="26" ht="13.5" customHeight="1">
      <c r="B26" s="9" t="inlineStr">
        <is>
          <t>¿Entrepiso arriostrado? (Q ≤ 0.06)</t>
        </is>
      </c>
      <c r="C26" s="22" t="inlineStr"/>
      <c r="D26" s="31" t="inlineStr">
        <is>
          <t>Sí</t>
        </is>
      </c>
      <c r="E26" s="24" t="inlineStr"/>
      <c r="F26" s="27" t="inlineStr">
        <is>
          <t>10.11.4.2</t>
        </is>
      </c>
      <c r="AK26" s="46">
        <f>0.5*$D$15</f>
        <v/>
      </c>
      <c r="AL26" s="46">
        <f>MIN($D$66*AK26,$D$15)</f>
        <v/>
      </c>
      <c r="AM26" s="46">
        <f>(0.85*$D$11*AL26*$D$14+SUMPRODUCT($AF$8:$AF$17,(ABS(6000*(1-$AE$8:$AE$17/AK26)+$D$12)-ABS(6000*(1-$AE$8:$AE$17/AK26)-$D$12))/2-0.85*$D$11*($AE$8:$AE$17&lt;AL26)))/1000</f>
        <v/>
      </c>
      <c r="AN26" s="46">
        <f>(0.85*$D$11*AL26*$D$14*($D$15/2-AL26/2)+SUMPRODUCT($AF$8:$AF$17,(ABS(6000*(1-$AE$8:$AE$17/AK26)+$D$12)-ABS(6000*(1-$AE$8:$AE$17/AK26)-$D$12))/2-0.85*$D$11*($AE$8:$AE$17&lt;AL26),$D$15/2-$AE$8:$AE$17))/100000</f>
        <v/>
      </c>
      <c r="AO26" s="46">
        <f>IF(AM26&lt;=0,0.9,MAX(0.7,0.9/(1+0.2*AM26/$D$71)))</f>
        <v/>
      </c>
      <c r="AP26" s="46">
        <f>MIN(AO26*AM26,$D$68)</f>
        <v/>
      </c>
      <c r="AQ26" s="46">
        <f>MAX(0,AO26*AN26)</f>
        <v/>
      </c>
      <c r="AR26" s="46">
        <f>IF(AS26&gt;0,-AQ26/AS26,-1E+9)</f>
        <v/>
      </c>
      <c r="AS26" s="46">
        <f>AO26*AM26</f>
        <v/>
      </c>
      <c r="AU26" s="46">
        <f>0.5*$D$14</f>
        <v/>
      </c>
      <c r="AV26" s="46">
        <f>MIN($D$66*AU26,$D$14)</f>
        <v/>
      </c>
      <c r="AW26" s="46">
        <f>(0.85*$D$11*AV26*$D$15+SUMPRODUCT($AH$8:$AH$17,(ABS(6000*(1-$AG$8:$AG$17/AU26)+$D$12)-ABS(6000*(1-$AG$8:$AG$17/AU26)-$D$12))/2-0.85*$D$11*($AG$8:$AG$17&lt;AV26)))/1000</f>
        <v/>
      </c>
      <c r="AX26" s="46">
        <f>(0.85*$D$11*AV26*$D$15*($D$14/2-AV26/2)+SUMPRODUCT($AH$8:$AH$17,(ABS(6000*(1-$AG$8:$AG$17/AU26)+$D$12)-ABS(6000*(1-$AG$8:$AG$17/AU26)-$D$12))/2-0.85*$D$11*($AG$8:$AG$17&lt;AV26),$D$14/2-$AG$8:$AG$17))/100000</f>
        <v/>
      </c>
      <c r="AY26" s="46">
        <f>IF(AW26&lt;=0,0.9,MAX(0.7,0.9/(1+0.2*AW26/$D$72)))</f>
        <v/>
      </c>
      <c r="AZ26" s="46">
        <f>MIN(AY26*AW26,$D$68)</f>
        <v/>
      </c>
      <c r="BA26" s="46">
        <f>MAX(0,AY26*AX26)</f>
        <v/>
      </c>
      <c r="BB26" s="46">
        <f>IF(BC26&gt;0,-BA26/BC26,-1E+9)</f>
        <v/>
      </c>
      <c r="BC26" s="46">
        <f>AY26*AW26</f>
        <v/>
      </c>
    </row>
    <row r="27" ht="13.5" customHeight="1">
      <c r="B27" s="9" t="inlineStr">
        <is>
          <t>Relación M1/M2 (+ curvatura simple, − doble)</t>
        </is>
      </c>
      <c r="C27" s="22" t="inlineStr">
        <is>
          <t>M1/M2</t>
        </is>
      </c>
      <c r="D27" s="25" t="n">
        <v>-0.5</v>
      </c>
      <c r="E27" s="24" t="inlineStr"/>
      <c r="AK27" s="46">
        <f>0.525*$D$15</f>
        <v/>
      </c>
      <c r="AL27" s="46">
        <f>MIN($D$66*AK27,$D$15)</f>
        <v/>
      </c>
      <c r="AM27" s="46">
        <f>(0.85*$D$11*AL27*$D$14+SUMPRODUCT($AF$8:$AF$17,(ABS(6000*(1-$AE$8:$AE$17/AK27)+$D$12)-ABS(6000*(1-$AE$8:$AE$17/AK27)-$D$12))/2-0.85*$D$11*($AE$8:$AE$17&lt;AL27)))/1000</f>
        <v/>
      </c>
      <c r="AN27" s="46">
        <f>(0.85*$D$11*AL27*$D$14*($D$15/2-AL27/2)+SUMPRODUCT($AF$8:$AF$17,(ABS(6000*(1-$AE$8:$AE$17/AK27)+$D$12)-ABS(6000*(1-$AE$8:$AE$17/AK27)-$D$12))/2-0.85*$D$11*($AE$8:$AE$17&lt;AL27),$D$15/2-$AE$8:$AE$17))/100000</f>
        <v/>
      </c>
      <c r="AO27" s="46">
        <f>IF(AM27&lt;=0,0.9,MAX(0.7,0.9/(1+0.2*AM27/$D$71)))</f>
        <v/>
      </c>
      <c r="AP27" s="46">
        <f>MIN(AO27*AM27,$D$68)</f>
        <v/>
      </c>
      <c r="AQ27" s="46">
        <f>MAX(0,AO27*AN27)</f>
        <v/>
      </c>
      <c r="AR27" s="46">
        <f>IF(AS27&gt;0,-AQ27/AS27,-1E+9)</f>
        <v/>
      </c>
      <c r="AS27" s="46">
        <f>AO27*AM27</f>
        <v/>
      </c>
      <c r="AU27" s="46">
        <f>0.525*$D$14</f>
        <v/>
      </c>
      <c r="AV27" s="46">
        <f>MIN($D$66*AU27,$D$14)</f>
        <v/>
      </c>
      <c r="AW27" s="46">
        <f>(0.85*$D$11*AV27*$D$15+SUMPRODUCT($AH$8:$AH$17,(ABS(6000*(1-$AG$8:$AG$17/AU27)+$D$12)-ABS(6000*(1-$AG$8:$AG$17/AU27)-$D$12))/2-0.85*$D$11*($AG$8:$AG$17&lt;AV27)))/1000</f>
        <v/>
      </c>
      <c r="AX27" s="46">
        <f>(0.85*$D$11*AV27*$D$15*($D$14/2-AV27/2)+SUMPRODUCT($AH$8:$AH$17,(ABS(6000*(1-$AG$8:$AG$17/AU27)+$D$12)-ABS(6000*(1-$AG$8:$AG$17/AU27)-$D$12))/2-0.85*$D$11*($AG$8:$AG$17&lt;AV27),$D$14/2-$AG$8:$AG$17))/100000</f>
        <v/>
      </c>
      <c r="AY27" s="46">
        <f>IF(AW27&lt;=0,0.9,MAX(0.7,0.9/(1+0.2*AW27/$D$72)))</f>
        <v/>
      </c>
      <c r="AZ27" s="46">
        <f>MIN(AY27*AW27,$D$68)</f>
        <v/>
      </c>
      <c r="BA27" s="46">
        <f>MAX(0,AY27*AX27)</f>
        <v/>
      </c>
      <c r="BB27" s="46">
        <f>IF(BC27&gt;0,-BA27/BC27,-1E+9)</f>
        <v/>
      </c>
      <c r="BC27" s="46">
        <f>AY27*AW27</f>
        <v/>
      </c>
    </row>
    <row r="28" ht="13.5" customHeight="1">
      <c r="B28" s="9" t="inlineStr">
        <is>
          <t>Factor de carga sostenida βd</t>
        </is>
      </c>
      <c r="C28" s="22" t="inlineStr">
        <is>
          <t>βd</t>
        </is>
      </c>
      <c r="D28" s="25" t="n">
        <v>0.6</v>
      </c>
      <c r="E28" s="24" t="inlineStr"/>
      <c r="F28" s="27" t="inlineStr">
        <is>
          <t>CM amplificada / carga axial amplificada total</t>
        </is>
      </c>
      <c r="AK28" s="46">
        <f>0.55*$D$15</f>
        <v/>
      </c>
      <c r="AL28" s="46">
        <f>MIN($D$66*AK28,$D$15)</f>
        <v/>
      </c>
      <c r="AM28" s="46">
        <f>(0.85*$D$11*AL28*$D$14+SUMPRODUCT($AF$8:$AF$17,(ABS(6000*(1-$AE$8:$AE$17/AK28)+$D$12)-ABS(6000*(1-$AE$8:$AE$17/AK28)-$D$12))/2-0.85*$D$11*($AE$8:$AE$17&lt;AL28)))/1000</f>
        <v/>
      </c>
      <c r="AN28" s="46">
        <f>(0.85*$D$11*AL28*$D$14*($D$15/2-AL28/2)+SUMPRODUCT($AF$8:$AF$17,(ABS(6000*(1-$AE$8:$AE$17/AK28)+$D$12)-ABS(6000*(1-$AE$8:$AE$17/AK28)-$D$12))/2-0.85*$D$11*($AE$8:$AE$17&lt;AL28),$D$15/2-$AE$8:$AE$17))/100000</f>
        <v/>
      </c>
      <c r="AO28" s="46">
        <f>IF(AM28&lt;=0,0.9,MAX(0.7,0.9/(1+0.2*AM28/$D$71)))</f>
        <v/>
      </c>
      <c r="AP28" s="46">
        <f>MIN(AO28*AM28,$D$68)</f>
        <v/>
      </c>
      <c r="AQ28" s="46">
        <f>MAX(0,AO28*AN28)</f>
        <v/>
      </c>
      <c r="AR28" s="46">
        <f>IF(AS28&gt;0,-AQ28/AS28,-1E+9)</f>
        <v/>
      </c>
      <c r="AS28" s="46">
        <f>AO28*AM28</f>
        <v/>
      </c>
      <c r="AU28" s="46">
        <f>0.55*$D$14</f>
        <v/>
      </c>
      <c r="AV28" s="46">
        <f>MIN($D$66*AU28,$D$14)</f>
        <v/>
      </c>
      <c r="AW28" s="46">
        <f>(0.85*$D$11*AV28*$D$15+SUMPRODUCT($AH$8:$AH$17,(ABS(6000*(1-$AG$8:$AG$17/AU28)+$D$12)-ABS(6000*(1-$AG$8:$AG$17/AU28)-$D$12))/2-0.85*$D$11*($AG$8:$AG$17&lt;AV28)))/1000</f>
        <v/>
      </c>
      <c r="AX28" s="46">
        <f>(0.85*$D$11*AV28*$D$15*($D$14/2-AV28/2)+SUMPRODUCT($AH$8:$AH$17,(ABS(6000*(1-$AG$8:$AG$17/AU28)+$D$12)-ABS(6000*(1-$AG$8:$AG$17/AU28)-$D$12))/2-0.85*$D$11*($AG$8:$AG$17&lt;AV28),$D$14/2-$AG$8:$AG$17))/100000</f>
        <v/>
      </c>
      <c r="AY28" s="46">
        <f>IF(AW28&lt;=0,0.9,MAX(0.7,0.9/(1+0.2*AW28/$D$72)))</f>
        <v/>
      </c>
      <c r="AZ28" s="46">
        <f>MIN(AY28*AW28,$D$68)</f>
        <v/>
      </c>
      <c r="BA28" s="46">
        <f>MAX(0,AY28*AX28)</f>
        <v/>
      </c>
      <c r="BB28" s="46">
        <f>IF(BC28&gt;0,-BA28/BC28,-1E+9)</f>
        <v/>
      </c>
      <c r="BC28" s="46">
        <f>AY28*AW28</f>
        <v/>
      </c>
    </row>
    <row r="29" ht="13.5" customHeight="1">
      <c r="B29" s="9" t="inlineStr">
        <is>
          <t>Índice de estabilidad Q (no arriostrado)</t>
        </is>
      </c>
      <c r="C29" s="22" t="inlineStr">
        <is>
          <t>Q</t>
        </is>
      </c>
      <c r="D29" s="25" t="n">
        <v>0.04</v>
      </c>
      <c r="E29" s="24" t="inlineStr"/>
      <c r="F29" s="27" t="inlineStr">
        <is>
          <t>De ETABS: ΣPu·Δo/(Vus·he); Δo × 0.75R</t>
        </is>
      </c>
      <c r="AK29" s="46">
        <f>0.575*$D$15</f>
        <v/>
      </c>
      <c r="AL29" s="46">
        <f>MIN($D$66*AK29,$D$15)</f>
        <v/>
      </c>
      <c r="AM29" s="46">
        <f>(0.85*$D$11*AL29*$D$14+SUMPRODUCT($AF$8:$AF$17,(ABS(6000*(1-$AE$8:$AE$17/AK29)+$D$12)-ABS(6000*(1-$AE$8:$AE$17/AK29)-$D$12))/2-0.85*$D$11*($AE$8:$AE$17&lt;AL29)))/1000</f>
        <v/>
      </c>
      <c r="AN29" s="46">
        <f>(0.85*$D$11*AL29*$D$14*($D$15/2-AL29/2)+SUMPRODUCT($AF$8:$AF$17,(ABS(6000*(1-$AE$8:$AE$17/AK29)+$D$12)-ABS(6000*(1-$AE$8:$AE$17/AK29)-$D$12))/2-0.85*$D$11*($AE$8:$AE$17&lt;AL29),$D$15/2-$AE$8:$AE$17))/100000</f>
        <v/>
      </c>
      <c r="AO29" s="46">
        <f>IF(AM29&lt;=0,0.9,MAX(0.7,0.9/(1+0.2*AM29/$D$71)))</f>
        <v/>
      </c>
      <c r="AP29" s="46">
        <f>MIN(AO29*AM29,$D$68)</f>
        <v/>
      </c>
      <c r="AQ29" s="46">
        <f>MAX(0,AO29*AN29)</f>
        <v/>
      </c>
      <c r="AR29" s="46">
        <f>IF(AS29&gt;0,-AQ29/AS29,-1E+9)</f>
        <v/>
      </c>
      <c r="AS29" s="46">
        <f>AO29*AM29</f>
        <v/>
      </c>
      <c r="AU29" s="46">
        <f>0.575*$D$14</f>
        <v/>
      </c>
      <c r="AV29" s="46">
        <f>MIN($D$66*AU29,$D$14)</f>
        <v/>
      </c>
      <c r="AW29" s="46">
        <f>(0.85*$D$11*AV29*$D$15+SUMPRODUCT($AH$8:$AH$17,(ABS(6000*(1-$AG$8:$AG$17/AU29)+$D$12)-ABS(6000*(1-$AG$8:$AG$17/AU29)-$D$12))/2-0.85*$D$11*($AG$8:$AG$17&lt;AV29)))/1000</f>
        <v/>
      </c>
      <c r="AX29" s="46">
        <f>(0.85*$D$11*AV29*$D$15*($D$14/2-AV29/2)+SUMPRODUCT($AH$8:$AH$17,(ABS(6000*(1-$AG$8:$AG$17/AU29)+$D$12)-ABS(6000*(1-$AG$8:$AG$17/AU29)-$D$12))/2-0.85*$D$11*($AG$8:$AG$17&lt;AV29),$D$14/2-$AG$8:$AG$17))/100000</f>
        <v/>
      </c>
      <c r="AY29" s="46">
        <f>IF(AW29&lt;=0,0.9,MAX(0.7,0.9/(1+0.2*AW29/$D$72)))</f>
        <v/>
      </c>
      <c r="AZ29" s="46">
        <f>MIN(AY29*AW29,$D$68)</f>
        <v/>
      </c>
      <c r="BA29" s="46">
        <f>MAX(0,AY29*AX29)</f>
        <v/>
      </c>
      <c r="BB29" s="46">
        <f>IF(BC29&gt;0,-BA29/BC29,-1E+9)</f>
        <v/>
      </c>
      <c r="BC29" s="46">
        <f>AY29*AW29</f>
        <v/>
      </c>
    </row>
    <row r="30">
      <c r="B30" s="4" t="inlineStr">
        <is>
          <t>Columna fuerte – viga débil (solo pórticos y dual tipo II, 21.6.2.2)</t>
        </is>
      </c>
      <c r="AK30" s="46">
        <f>0.6*$D$15</f>
        <v/>
      </c>
      <c r="AL30" s="46">
        <f>MIN($D$66*AK30,$D$15)</f>
        <v/>
      </c>
      <c r="AM30" s="46">
        <f>(0.85*$D$11*AL30*$D$14+SUMPRODUCT($AF$8:$AF$17,(ABS(6000*(1-$AE$8:$AE$17/AK30)+$D$12)-ABS(6000*(1-$AE$8:$AE$17/AK30)-$D$12))/2-0.85*$D$11*($AE$8:$AE$17&lt;AL30)))/1000</f>
        <v/>
      </c>
      <c r="AN30" s="46">
        <f>(0.85*$D$11*AL30*$D$14*($D$15/2-AL30/2)+SUMPRODUCT($AF$8:$AF$17,(ABS(6000*(1-$AE$8:$AE$17/AK30)+$D$12)-ABS(6000*(1-$AE$8:$AE$17/AK30)-$D$12))/2-0.85*$D$11*($AE$8:$AE$17&lt;AL30),$D$15/2-$AE$8:$AE$17))/100000</f>
        <v/>
      </c>
      <c r="AO30" s="46">
        <f>IF(AM30&lt;=0,0.9,MAX(0.7,0.9/(1+0.2*AM30/$D$71)))</f>
        <v/>
      </c>
      <c r="AP30" s="46">
        <f>MIN(AO30*AM30,$D$68)</f>
        <v/>
      </c>
      <c r="AQ30" s="46">
        <f>MAX(0,AO30*AN30)</f>
        <v/>
      </c>
      <c r="AR30" s="46">
        <f>IF(AS30&gt;0,-AQ30/AS30,-1E+9)</f>
        <v/>
      </c>
      <c r="AS30" s="46">
        <f>AO30*AM30</f>
        <v/>
      </c>
      <c r="AU30" s="46">
        <f>0.6*$D$14</f>
        <v/>
      </c>
      <c r="AV30" s="46">
        <f>MIN($D$66*AU30,$D$14)</f>
        <v/>
      </c>
      <c r="AW30" s="46">
        <f>(0.85*$D$11*AV30*$D$15+SUMPRODUCT($AH$8:$AH$17,(ABS(6000*(1-$AG$8:$AG$17/AU30)+$D$12)-ABS(6000*(1-$AG$8:$AG$17/AU30)-$D$12))/2-0.85*$D$11*($AG$8:$AG$17&lt;AV30)))/1000</f>
        <v/>
      </c>
      <c r="AX30" s="46">
        <f>(0.85*$D$11*AV30*$D$15*($D$14/2-AV30/2)+SUMPRODUCT($AH$8:$AH$17,(ABS(6000*(1-$AG$8:$AG$17/AU30)+$D$12)-ABS(6000*(1-$AG$8:$AG$17/AU30)-$D$12))/2-0.85*$D$11*($AG$8:$AG$17&lt;AV30),$D$14/2-$AG$8:$AG$17))/100000</f>
        <v/>
      </c>
      <c r="AY30" s="46">
        <f>IF(AW30&lt;=0,0.9,MAX(0.7,0.9/(1+0.2*AW30/$D$72)))</f>
        <v/>
      </c>
      <c r="AZ30" s="46">
        <f>MIN(AY30*AW30,$D$68)</f>
        <v/>
      </c>
      <c r="BA30" s="46">
        <f>MAX(0,AY30*AX30)</f>
        <v/>
      </c>
      <c r="BB30" s="46">
        <f>IF(BC30&gt;0,-BA30/BC30,-1E+9)</f>
        <v/>
      </c>
      <c r="BC30" s="46">
        <f>AY30*AW30</f>
        <v/>
      </c>
    </row>
    <row r="31" ht="24" customHeight="1">
      <c r="B31" s="9" t="inlineStr">
        <is>
          <t>Suma de Mn de las vigas que llegan al nudo, flexión en X</t>
        </is>
      </c>
      <c r="C31" s="22" t="inlineStr">
        <is>
          <t>ΣMnv</t>
        </is>
      </c>
      <c r="D31" s="25" t="n">
        <v>35</v>
      </c>
      <c r="E31" s="24" t="inlineStr">
        <is>
          <t>t·m</t>
        </is>
      </c>
      <c r="F31" s="27" t="inlineStr">
        <is>
          <t>Mn− de un lado + Mn+ del otro (hoja VIGA: φMn/0.9)</t>
        </is>
      </c>
      <c r="AK31" s="46">
        <f>0.625*$D$15</f>
        <v/>
      </c>
      <c r="AL31" s="46">
        <f>MIN($D$66*AK31,$D$15)</f>
        <v/>
      </c>
      <c r="AM31" s="46">
        <f>(0.85*$D$11*AL31*$D$14+SUMPRODUCT($AF$8:$AF$17,(ABS(6000*(1-$AE$8:$AE$17/AK31)+$D$12)-ABS(6000*(1-$AE$8:$AE$17/AK31)-$D$12))/2-0.85*$D$11*($AE$8:$AE$17&lt;AL31)))/1000</f>
        <v/>
      </c>
      <c r="AN31" s="46">
        <f>(0.85*$D$11*AL31*$D$14*($D$15/2-AL31/2)+SUMPRODUCT($AF$8:$AF$17,(ABS(6000*(1-$AE$8:$AE$17/AK31)+$D$12)-ABS(6000*(1-$AE$8:$AE$17/AK31)-$D$12))/2-0.85*$D$11*($AE$8:$AE$17&lt;AL31),$D$15/2-$AE$8:$AE$17))/100000</f>
        <v/>
      </c>
      <c r="AO31" s="46">
        <f>IF(AM31&lt;=0,0.9,MAX(0.7,0.9/(1+0.2*AM31/$D$71)))</f>
        <v/>
      </c>
      <c r="AP31" s="46">
        <f>MIN(AO31*AM31,$D$68)</f>
        <v/>
      </c>
      <c r="AQ31" s="46">
        <f>MAX(0,AO31*AN31)</f>
        <v/>
      </c>
      <c r="AR31" s="46">
        <f>IF(AS31&gt;0,-AQ31/AS31,-1E+9)</f>
        <v/>
      </c>
      <c r="AS31" s="46">
        <f>AO31*AM31</f>
        <v/>
      </c>
      <c r="AU31" s="46">
        <f>0.625*$D$14</f>
        <v/>
      </c>
      <c r="AV31" s="46">
        <f>MIN($D$66*AU31,$D$14)</f>
        <v/>
      </c>
      <c r="AW31" s="46">
        <f>(0.85*$D$11*AV31*$D$15+SUMPRODUCT($AH$8:$AH$17,(ABS(6000*(1-$AG$8:$AG$17/AU31)+$D$12)-ABS(6000*(1-$AG$8:$AG$17/AU31)-$D$12))/2-0.85*$D$11*($AG$8:$AG$17&lt;AV31)))/1000</f>
        <v/>
      </c>
      <c r="AX31" s="46">
        <f>(0.85*$D$11*AV31*$D$15*($D$14/2-AV31/2)+SUMPRODUCT($AH$8:$AH$17,(ABS(6000*(1-$AG$8:$AG$17/AU31)+$D$12)-ABS(6000*(1-$AG$8:$AG$17/AU31)-$D$12))/2-0.85*$D$11*($AG$8:$AG$17&lt;AV31),$D$14/2-$AG$8:$AG$17))/100000</f>
        <v/>
      </c>
      <c r="AY31" s="46">
        <f>IF(AW31&lt;=0,0.9,MAX(0.7,0.9/(1+0.2*AW31/$D$72)))</f>
        <v/>
      </c>
      <c r="AZ31" s="46">
        <f>MIN(AY31*AW31,$D$68)</f>
        <v/>
      </c>
      <c r="BA31" s="46">
        <f>MAX(0,AY31*AX31)</f>
        <v/>
      </c>
      <c r="BB31" s="46">
        <f>IF(BC31&gt;0,-BA31/BC31,-1E+9)</f>
        <v/>
      </c>
      <c r="BC31" s="46">
        <f>AY31*AW31</f>
        <v/>
      </c>
    </row>
    <row r="32" ht="24" customHeight="1">
      <c r="B32" s="9" t="inlineStr">
        <is>
          <t>Suma de Mn de las vigas que llegan al nudo, flexión en Y</t>
        </is>
      </c>
      <c r="C32" s="22" t="inlineStr">
        <is>
          <t>ΣMnv</t>
        </is>
      </c>
      <c r="D32" s="25" t="n">
        <v>20</v>
      </c>
      <c r="E32" s="24" t="inlineStr">
        <is>
          <t>t·m</t>
        </is>
      </c>
      <c r="AK32" s="46">
        <f>0.65*$D$15</f>
        <v/>
      </c>
      <c r="AL32" s="46">
        <f>MIN($D$66*AK32,$D$15)</f>
        <v/>
      </c>
      <c r="AM32" s="46">
        <f>(0.85*$D$11*AL32*$D$14+SUMPRODUCT($AF$8:$AF$17,(ABS(6000*(1-$AE$8:$AE$17/AK32)+$D$12)-ABS(6000*(1-$AE$8:$AE$17/AK32)-$D$12))/2-0.85*$D$11*($AE$8:$AE$17&lt;AL32)))/1000</f>
        <v/>
      </c>
      <c r="AN32" s="46">
        <f>(0.85*$D$11*AL32*$D$14*($D$15/2-AL32/2)+SUMPRODUCT($AF$8:$AF$17,(ABS(6000*(1-$AE$8:$AE$17/AK32)+$D$12)-ABS(6000*(1-$AE$8:$AE$17/AK32)-$D$12))/2-0.85*$D$11*($AE$8:$AE$17&lt;AL32),$D$15/2-$AE$8:$AE$17))/100000</f>
        <v/>
      </c>
      <c r="AO32" s="46">
        <f>IF(AM32&lt;=0,0.9,MAX(0.7,0.9/(1+0.2*AM32/$D$71)))</f>
        <v/>
      </c>
      <c r="AP32" s="46">
        <f>MIN(AO32*AM32,$D$68)</f>
        <v/>
      </c>
      <c r="AQ32" s="46">
        <f>MAX(0,AO32*AN32)</f>
        <v/>
      </c>
      <c r="AR32" s="46">
        <f>IF(AS32&gt;0,-AQ32/AS32,-1E+9)</f>
        <v/>
      </c>
      <c r="AS32" s="46">
        <f>AO32*AM32</f>
        <v/>
      </c>
      <c r="AU32" s="46">
        <f>0.65*$D$14</f>
        <v/>
      </c>
      <c r="AV32" s="46">
        <f>MIN($D$66*AU32,$D$14)</f>
        <v/>
      </c>
      <c r="AW32" s="46">
        <f>(0.85*$D$11*AV32*$D$15+SUMPRODUCT($AH$8:$AH$17,(ABS(6000*(1-$AG$8:$AG$17/AU32)+$D$12)-ABS(6000*(1-$AG$8:$AG$17/AU32)-$D$12))/2-0.85*$D$11*($AG$8:$AG$17&lt;AV32)))/1000</f>
        <v/>
      </c>
      <c r="AX32" s="46">
        <f>(0.85*$D$11*AV32*$D$15*($D$14/2-AV32/2)+SUMPRODUCT($AH$8:$AH$17,(ABS(6000*(1-$AG$8:$AG$17/AU32)+$D$12)-ABS(6000*(1-$AG$8:$AG$17/AU32)-$D$12))/2-0.85*$D$11*($AG$8:$AG$17&lt;AV32),$D$14/2-$AG$8:$AG$17))/100000</f>
        <v/>
      </c>
      <c r="AY32" s="46">
        <f>IF(AW32&lt;=0,0.9,MAX(0.7,0.9/(1+0.2*AW32/$D$72)))</f>
        <v/>
      </c>
      <c r="AZ32" s="46">
        <f>MIN(AY32*AW32,$D$68)</f>
        <v/>
      </c>
      <c r="BA32" s="46">
        <f>MAX(0,AY32*AX32)</f>
        <v/>
      </c>
      <c r="BB32" s="46">
        <f>IF(BC32&gt;0,-BA32/BC32,-1E+9)</f>
        <v/>
      </c>
      <c r="BC32" s="46">
        <f>AY32*AW32</f>
        <v/>
      </c>
    </row>
    <row r="33">
      <c r="B33" s="4" t="inlineStr">
        <is>
          <t>Cortantes del análisis (t)</t>
        </is>
      </c>
      <c r="AK33" s="46">
        <f>0.675*$D$15</f>
        <v/>
      </c>
      <c r="AL33" s="46">
        <f>MIN($D$66*AK33,$D$15)</f>
        <v/>
      </c>
      <c r="AM33" s="46">
        <f>(0.85*$D$11*AL33*$D$14+SUMPRODUCT($AF$8:$AF$17,(ABS(6000*(1-$AE$8:$AE$17/AK33)+$D$12)-ABS(6000*(1-$AE$8:$AE$17/AK33)-$D$12))/2-0.85*$D$11*($AE$8:$AE$17&lt;AL33)))/1000</f>
        <v/>
      </c>
      <c r="AN33" s="46">
        <f>(0.85*$D$11*AL33*$D$14*($D$15/2-AL33/2)+SUMPRODUCT($AF$8:$AF$17,(ABS(6000*(1-$AE$8:$AE$17/AK33)+$D$12)-ABS(6000*(1-$AE$8:$AE$17/AK33)-$D$12))/2-0.85*$D$11*($AE$8:$AE$17&lt;AL33),$D$15/2-$AE$8:$AE$17))/100000</f>
        <v/>
      </c>
      <c r="AO33" s="46">
        <f>IF(AM33&lt;=0,0.9,MAX(0.7,0.9/(1+0.2*AM33/$D$71)))</f>
        <v/>
      </c>
      <c r="AP33" s="46">
        <f>MIN(AO33*AM33,$D$68)</f>
        <v/>
      </c>
      <c r="AQ33" s="46">
        <f>MAX(0,AO33*AN33)</f>
        <v/>
      </c>
      <c r="AR33" s="46">
        <f>IF(AS33&gt;0,-AQ33/AS33,-1E+9)</f>
        <v/>
      </c>
      <c r="AS33" s="46">
        <f>AO33*AM33</f>
        <v/>
      </c>
      <c r="AU33" s="46">
        <f>0.675*$D$14</f>
        <v/>
      </c>
      <c r="AV33" s="46">
        <f>MIN($D$66*AU33,$D$14)</f>
        <v/>
      </c>
      <c r="AW33" s="46">
        <f>(0.85*$D$11*AV33*$D$15+SUMPRODUCT($AH$8:$AH$17,(ABS(6000*(1-$AG$8:$AG$17/AU33)+$D$12)-ABS(6000*(1-$AG$8:$AG$17/AU33)-$D$12))/2-0.85*$D$11*($AG$8:$AG$17&lt;AV33)))/1000</f>
        <v/>
      </c>
      <c r="AX33" s="46">
        <f>(0.85*$D$11*AV33*$D$15*($D$14/2-AV33/2)+SUMPRODUCT($AH$8:$AH$17,(ABS(6000*(1-$AG$8:$AG$17/AU33)+$D$12)-ABS(6000*(1-$AG$8:$AG$17/AU33)-$D$12))/2-0.85*$D$11*($AG$8:$AG$17&lt;AV33),$D$14/2-$AG$8:$AG$17))/100000</f>
        <v/>
      </c>
      <c r="AY33" s="46">
        <f>IF(AW33&lt;=0,0.9,MAX(0.7,0.9/(1+0.2*AW33/$D$72)))</f>
        <v/>
      </c>
      <c r="AZ33" s="46">
        <f>MIN(AY33*AW33,$D$68)</f>
        <v/>
      </c>
      <c r="BA33" s="46">
        <f>MAX(0,AY33*AX33)</f>
        <v/>
      </c>
      <c r="BB33" s="46">
        <f>IF(BC33&gt;0,-BA33/BC33,-1E+9)</f>
        <v/>
      </c>
      <c r="BC33" s="46">
        <f>AY33*AW33</f>
        <v/>
      </c>
    </row>
    <row r="34" ht="13.5" customHeight="1">
      <c r="B34" s="9" t="inlineStr">
        <is>
          <t>Cortante último en Y (máx. envolvente)</t>
        </is>
      </c>
      <c r="C34" s="22" t="inlineStr">
        <is>
          <t>VuY</t>
        </is>
      </c>
      <c r="D34" s="25" t="n">
        <v>6</v>
      </c>
      <c r="E34" s="24" t="inlineStr">
        <is>
          <t>t</t>
        </is>
      </c>
      <c r="F34" s="27" t="inlineStr">
        <is>
          <t>Asociado a Mux</t>
        </is>
      </c>
      <c r="AK34" s="46">
        <f>0.7*$D$15</f>
        <v/>
      </c>
      <c r="AL34" s="46">
        <f>MIN($D$66*AK34,$D$15)</f>
        <v/>
      </c>
      <c r="AM34" s="46">
        <f>(0.85*$D$11*AL34*$D$14+SUMPRODUCT($AF$8:$AF$17,(ABS(6000*(1-$AE$8:$AE$17/AK34)+$D$12)-ABS(6000*(1-$AE$8:$AE$17/AK34)-$D$12))/2-0.85*$D$11*($AE$8:$AE$17&lt;AL34)))/1000</f>
        <v/>
      </c>
      <c r="AN34" s="46">
        <f>(0.85*$D$11*AL34*$D$14*($D$15/2-AL34/2)+SUMPRODUCT($AF$8:$AF$17,(ABS(6000*(1-$AE$8:$AE$17/AK34)+$D$12)-ABS(6000*(1-$AE$8:$AE$17/AK34)-$D$12))/2-0.85*$D$11*($AE$8:$AE$17&lt;AL34),$D$15/2-$AE$8:$AE$17))/100000</f>
        <v/>
      </c>
      <c r="AO34" s="46">
        <f>IF(AM34&lt;=0,0.9,MAX(0.7,0.9/(1+0.2*AM34/$D$71)))</f>
        <v/>
      </c>
      <c r="AP34" s="46">
        <f>MIN(AO34*AM34,$D$68)</f>
        <v/>
      </c>
      <c r="AQ34" s="46">
        <f>MAX(0,AO34*AN34)</f>
        <v/>
      </c>
      <c r="AR34" s="46">
        <f>IF(AS34&gt;0,-AQ34/AS34,-1E+9)</f>
        <v/>
      </c>
      <c r="AS34" s="46">
        <f>AO34*AM34</f>
        <v/>
      </c>
      <c r="AU34" s="46">
        <f>0.7*$D$14</f>
        <v/>
      </c>
      <c r="AV34" s="46">
        <f>MIN($D$66*AU34,$D$14)</f>
        <v/>
      </c>
      <c r="AW34" s="46">
        <f>(0.85*$D$11*AV34*$D$15+SUMPRODUCT($AH$8:$AH$17,(ABS(6000*(1-$AG$8:$AG$17/AU34)+$D$12)-ABS(6000*(1-$AG$8:$AG$17/AU34)-$D$12))/2-0.85*$D$11*($AG$8:$AG$17&lt;AV34)))/1000</f>
        <v/>
      </c>
      <c r="AX34" s="46">
        <f>(0.85*$D$11*AV34*$D$15*($D$14/2-AV34/2)+SUMPRODUCT($AH$8:$AH$17,(ABS(6000*(1-$AG$8:$AG$17/AU34)+$D$12)-ABS(6000*(1-$AG$8:$AG$17/AU34)-$D$12))/2-0.85*$D$11*($AG$8:$AG$17&lt;AV34),$D$14/2-$AG$8:$AG$17))/100000</f>
        <v/>
      </c>
      <c r="AY34" s="46">
        <f>IF(AW34&lt;=0,0.9,MAX(0.7,0.9/(1+0.2*AW34/$D$72)))</f>
        <v/>
      </c>
      <c r="AZ34" s="46">
        <f>MIN(AY34*AW34,$D$68)</f>
        <v/>
      </c>
      <c r="BA34" s="46">
        <f>MAX(0,AY34*AX34)</f>
        <v/>
      </c>
      <c r="BB34" s="46">
        <f>IF(BC34&gt;0,-BA34/BC34,-1E+9)</f>
        <v/>
      </c>
      <c r="BC34" s="46">
        <f>AY34*AW34</f>
        <v/>
      </c>
    </row>
    <row r="35" ht="13.5" customHeight="1">
      <c r="B35" s="9" t="inlineStr">
        <is>
          <t>Cortante de sismo puro en Y</t>
        </is>
      </c>
      <c r="C35" s="22" t="inlineStr">
        <is>
          <t>VSY</t>
        </is>
      </c>
      <c r="D35" s="25" t="n">
        <v>3.5</v>
      </c>
      <c r="E35" s="24" t="inlineStr">
        <is>
          <t>t</t>
        </is>
      </c>
      <c r="AK35" s="46">
        <f>0.75*$D$15</f>
        <v/>
      </c>
      <c r="AL35" s="46">
        <f>MIN($D$66*AK35,$D$15)</f>
        <v/>
      </c>
      <c r="AM35" s="46">
        <f>(0.85*$D$11*AL35*$D$14+SUMPRODUCT($AF$8:$AF$17,(ABS(6000*(1-$AE$8:$AE$17/AK35)+$D$12)-ABS(6000*(1-$AE$8:$AE$17/AK35)-$D$12))/2-0.85*$D$11*($AE$8:$AE$17&lt;AL35)))/1000</f>
        <v/>
      </c>
      <c r="AN35" s="46">
        <f>(0.85*$D$11*AL35*$D$14*($D$15/2-AL35/2)+SUMPRODUCT($AF$8:$AF$17,(ABS(6000*(1-$AE$8:$AE$17/AK35)+$D$12)-ABS(6000*(1-$AE$8:$AE$17/AK35)-$D$12))/2-0.85*$D$11*($AE$8:$AE$17&lt;AL35),$D$15/2-$AE$8:$AE$17))/100000</f>
        <v/>
      </c>
      <c r="AO35" s="46">
        <f>IF(AM35&lt;=0,0.9,MAX(0.7,0.9/(1+0.2*AM35/$D$71)))</f>
        <v/>
      </c>
      <c r="AP35" s="46">
        <f>MIN(AO35*AM35,$D$68)</f>
        <v/>
      </c>
      <c r="AQ35" s="46">
        <f>MAX(0,AO35*AN35)</f>
        <v/>
      </c>
      <c r="AR35" s="46">
        <f>IF(AS35&gt;0,-AQ35/AS35,-1E+9)</f>
        <v/>
      </c>
      <c r="AS35" s="46">
        <f>AO35*AM35</f>
        <v/>
      </c>
      <c r="AU35" s="46">
        <f>0.75*$D$14</f>
        <v/>
      </c>
      <c r="AV35" s="46">
        <f>MIN($D$66*AU35,$D$14)</f>
        <v/>
      </c>
      <c r="AW35" s="46">
        <f>(0.85*$D$11*AV35*$D$15+SUMPRODUCT($AH$8:$AH$17,(ABS(6000*(1-$AG$8:$AG$17/AU35)+$D$12)-ABS(6000*(1-$AG$8:$AG$17/AU35)-$D$12))/2-0.85*$D$11*($AG$8:$AG$17&lt;AV35)))/1000</f>
        <v/>
      </c>
      <c r="AX35" s="46">
        <f>(0.85*$D$11*AV35*$D$15*($D$14/2-AV35/2)+SUMPRODUCT($AH$8:$AH$17,(ABS(6000*(1-$AG$8:$AG$17/AU35)+$D$12)-ABS(6000*(1-$AG$8:$AG$17/AU35)-$D$12))/2-0.85*$D$11*($AG$8:$AG$17&lt;AV35),$D$14/2-$AG$8:$AG$17))/100000</f>
        <v/>
      </c>
      <c r="AY35" s="46">
        <f>IF(AW35&lt;=0,0.9,MAX(0.7,0.9/(1+0.2*AW35/$D$72)))</f>
        <v/>
      </c>
      <c r="AZ35" s="46">
        <f>MIN(AY35*AW35,$D$68)</f>
        <v/>
      </c>
      <c r="BA35" s="46">
        <f>MAX(0,AY35*AX35)</f>
        <v/>
      </c>
      <c r="BB35" s="46">
        <f>IF(BC35&gt;0,-BA35/BC35,-1E+9)</f>
        <v/>
      </c>
      <c r="BC35" s="46">
        <f>AY35*AW35</f>
        <v/>
      </c>
    </row>
    <row r="36" ht="13.5" customHeight="1">
      <c r="B36" s="9" t="inlineStr">
        <is>
          <t>Cortante último en X (máx. envolvente)</t>
        </is>
      </c>
      <c r="C36" s="22" t="inlineStr">
        <is>
          <t>VuX</t>
        </is>
      </c>
      <c r="D36" s="25" t="n">
        <v>4</v>
      </c>
      <c r="E36" s="24" t="inlineStr">
        <is>
          <t>t</t>
        </is>
      </c>
      <c r="F36" s="27" t="inlineStr">
        <is>
          <t>Asociado a Muy</t>
        </is>
      </c>
      <c r="AK36" s="46">
        <f>0.8*$D$15</f>
        <v/>
      </c>
      <c r="AL36" s="46">
        <f>MIN($D$66*AK36,$D$15)</f>
        <v/>
      </c>
      <c r="AM36" s="46">
        <f>(0.85*$D$11*AL36*$D$14+SUMPRODUCT($AF$8:$AF$17,(ABS(6000*(1-$AE$8:$AE$17/AK36)+$D$12)-ABS(6000*(1-$AE$8:$AE$17/AK36)-$D$12))/2-0.85*$D$11*($AE$8:$AE$17&lt;AL36)))/1000</f>
        <v/>
      </c>
      <c r="AN36" s="46">
        <f>(0.85*$D$11*AL36*$D$14*($D$15/2-AL36/2)+SUMPRODUCT($AF$8:$AF$17,(ABS(6000*(1-$AE$8:$AE$17/AK36)+$D$12)-ABS(6000*(1-$AE$8:$AE$17/AK36)-$D$12))/2-0.85*$D$11*($AE$8:$AE$17&lt;AL36),$D$15/2-$AE$8:$AE$17))/100000</f>
        <v/>
      </c>
      <c r="AO36" s="46">
        <f>IF(AM36&lt;=0,0.9,MAX(0.7,0.9/(1+0.2*AM36/$D$71)))</f>
        <v/>
      </c>
      <c r="AP36" s="46">
        <f>MIN(AO36*AM36,$D$68)</f>
        <v/>
      </c>
      <c r="AQ36" s="46">
        <f>MAX(0,AO36*AN36)</f>
        <v/>
      </c>
      <c r="AR36" s="46">
        <f>IF(AS36&gt;0,-AQ36/AS36,-1E+9)</f>
        <v/>
      </c>
      <c r="AS36" s="46">
        <f>AO36*AM36</f>
        <v/>
      </c>
      <c r="AU36" s="46">
        <f>0.8*$D$14</f>
        <v/>
      </c>
      <c r="AV36" s="46">
        <f>MIN($D$66*AU36,$D$14)</f>
        <v/>
      </c>
      <c r="AW36" s="46">
        <f>(0.85*$D$11*AV36*$D$15+SUMPRODUCT($AH$8:$AH$17,(ABS(6000*(1-$AG$8:$AG$17/AU36)+$D$12)-ABS(6000*(1-$AG$8:$AG$17/AU36)-$D$12))/2-0.85*$D$11*($AG$8:$AG$17&lt;AV36)))/1000</f>
        <v/>
      </c>
      <c r="AX36" s="46">
        <f>(0.85*$D$11*AV36*$D$15*($D$14/2-AV36/2)+SUMPRODUCT($AH$8:$AH$17,(ABS(6000*(1-$AG$8:$AG$17/AU36)+$D$12)-ABS(6000*(1-$AG$8:$AG$17/AU36)-$D$12))/2-0.85*$D$11*($AG$8:$AG$17&lt;AV36),$D$14/2-$AG$8:$AG$17))/100000</f>
        <v/>
      </c>
      <c r="AY36" s="46">
        <f>IF(AW36&lt;=0,0.9,MAX(0.7,0.9/(1+0.2*AW36/$D$72)))</f>
        <v/>
      </c>
      <c r="AZ36" s="46">
        <f>MIN(AY36*AW36,$D$68)</f>
        <v/>
      </c>
      <c r="BA36" s="46">
        <f>MAX(0,AY36*AX36)</f>
        <v/>
      </c>
      <c r="BB36" s="46">
        <f>IF(BC36&gt;0,-BA36/BC36,-1E+9)</f>
        <v/>
      </c>
      <c r="BC36" s="46">
        <f>AY36*AW36</f>
        <v/>
      </c>
    </row>
    <row r="37" ht="13.5" customHeight="1">
      <c r="B37" s="9" t="inlineStr">
        <is>
          <t>Cortante de sismo puro en X</t>
        </is>
      </c>
      <c r="C37" s="22" t="inlineStr">
        <is>
          <t>VSX</t>
        </is>
      </c>
      <c r="D37" s="25" t="n">
        <v>2.5</v>
      </c>
      <c r="E37" s="24" t="inlineStr">
        <is>
          <t>t</t>
        </is>
      </c>
      <c r="AK37" s="46">
        <f>0.85*$D$15</f>
        <v/>
      </c>
      <c r="AL37" s="46">
        <f>MIN($D$66*AK37,$D$15)</f>
        <v/>
      </c>
      <c r="AM37" s="46">
        <f>(0.85*$D$11*AL37*$D$14+SUMPRODUCT($AF$8:$AF$17,(ABS(6000*(1-$AE$8:$AE$17/AK37)+$D$12)-ABS(6000*(1-$AE$8:$AE$17/AK37)-$D$12))/2-0.85*$D$11*($AE$8:$AE$17&lt;AL37)))/1000</f>
        <v/>
      </c>
      <c r="AN37" s="46">
        <f>(0.85*$D$11*AL37*$D$14*($D$15/2-AL37/2)+SUMPRODUCT($AF$8:$AF$17,(ABS(6000*(1-$AE$8:$AE$17/AK37)+$D$12)-ABS(6000*(1-$AE$8:$AE$17/AK37)-$D$12))/2-0.85*$D$11*($AE$8:$AE$17&lt;AL37),$D$15/2-$AE$8:$AE$17))/100000</f>
        <v/>
      </c>
      <c r="AO37" s="46">
        <f>IF(AM37&lt;=0,0.9,MAX(0.7,0.9/(1+0.2*AM37/$D$71)))</f>
        <v/>
      </c>
      <c r="AP37" s="46">
        <f>MIN(AO37*AM37,$D$68)</f>
        <v/>
      </c>
      <c r="AQ37" s="46">
        <f>MAX(0,AO37*AN37)</f>
        <v/>
      </c>
      <c r="AR37" s="46">
        <f>IF(AS37&gt;0,-AQ37/AS37,-1E+9)</f>
        <v/>
      </c>
      <c r="AS37" s="46">
        <f>AO37*AM37</f>
        <v/>
      </c>
      <c r="AU37" s="46">
        <f>0.85*$D$14</f>
        <v/>
      </c>
      <c r="AV37" s="46">
        <f>MIN($D$66*AU37,$D$14)</f>
        <v/>
      </c>
      <c r="AW37" s="46">
        <f>(0.85*$D$11*AV37*$D$15+SUMPRODUCT($AH$8:$AH$17,(ABS(6000*(1-$AG$8:$AG$17/AU37)+$D$12)-ABS(6000*(1-$AG$8:$AG$17/AU37)-$D$12))/2-0.85*$D$11*($AG$8:$AG$17&lt;AV37)))/1000</f>
        <v/>
      </c>
      <c r="AX37" s="46">
        <f>(0.85*$D$11*AV37*$D$15*($D$14/2-AV37/2)+SUMPRODUCT($AH$8:$AH$17,(ABS(6000*(1-$AG$8:$AG$17/AU37)+$D$12)-ABS(6000*(1-$AG$8:$AG$17/AU37)-$D$12))/2-0.85*$D$11*($AG$8:$AG$17&lt;AV37),$D$14/2-$AG$8:$AG$17))/100000</f>
        <v/>
      </c>
      <c r="AY37" s="46">
        <f>IF(AW37&lt;=0,0.9,MAX(0.7,0.9/(1+0.2*AW37/$D$72)))</f>
        <v/>
      </c>
      <c r="AZ37" s="46">
        <f>MIN(AY37*AW37,$D$68)</f>
        <v/>
      </c>
      <c r="BA37" s="46">
        <f>MAX(0,AY37*AX37)</f>
        <v/>
      </c>
      <c r="BB37" s="46">
        <f>IF(BC37&gt;0,-BA37/BC37,-1E+9)</f>
        <v/>
      </c>
      <c r="BC37" s="46">
        <f>AY37*AW37</f>
        <v/>
      </c>
    </row>
    <row r="38">
      <c r="B38" s="4" t="inlineStr">
        <is>
          <t>Combinaciones de diseño: Mux gira alrededor del eje X (la flexión comprime una cara de longitud B)</t>
        </is>
      </c>
      <c r="AK38" s="46">
        <f>0.9*$D$15</f>
        <v/>
      </c>
      <c r="AL38" s="46">
        <f>MIN($D$66*AK38,$D$15)</f>
        <v/>
      </c>
      <c r="AM38" s="46">
        <f>(0.85*$D$11*AL38*$D$14+SUMPRODUCT($AF$8:$AF$17,(ABS(6000*(1-$AE$8:$AE$17/AK38)+$D$12)-ABS(6000*(1-$AE$8:$AE$17/AK38)-$D$12))/2-0.85*$D$11*($AE$8:$AE$17&lt;AL38)))/1000</f>
        <v/>
      </c>
      <c r="AN38" s="46">
        <f>(0.85*$D$11*AL38*$D$14*($D$15/2-AL38/2)+SUMPRODUCT($AF$8:$AF$17,(ABS(6000*(1-$AE$8:$AE$17/AK38)+$D$12)-ABS(6000*(1-$AE$8:$AE$17/AK38)-$D$12))/2-0.85*$D$11*($AE$8:$AE$17&lt;AL38),$D$15/2-$AE$8:$AE$17))/100000</f>
        <v/>
      </c>
      <c r="AO38" s="46">
        <f>IF(AM38&lt;=0,0.9,MAX(0.7,0.9/(1+0.2*AM38/$D$71)))</f>
        <v/>
      </c>
      <c r="AP38" s="46">
        <f>MIN(AO38*AM38,$D$68)</f>
        <v/>
      </c>
      <c r="AQ38" s="46">
        <f>MAX(0,AO38*AN38)</f>
        <v/>
      </c>
      <c r="AR38" s="46">
        <f>IF(AS38&gt;0,-AQ38/AS38,-1E+9)</f>
        <v/>
      </c>
      <c r="AS38" s="46">
        <f>AO38*AM38</f>
        <v/>
      </c>
      <c r="AU38" s="46">
        <f>0.9*$D$14</f>
        <v/>
      </c>
      <c r="AV38" s="46">
        <f>MIN($D$66*AU38,$D$14)</f>
        <v/>
      </c>
      <c r="AW38" s="46">
        <f>(0.85*$D$11*AV38*$D$15+SUMPRODUCT($AH$8:$AH$17,(ABS(6000*(1-$AG$8:$AG$17/AU38)+$D$12)-ABS(6000*(1-$AG$8:$AG$17/AU38)-$D$12))/2-0.85*$D$11*($AG$8:$AG$17&lt;AV38)))/1000</f>
        <v/>
      </c>
      <c r="AX38" s="46">
        <f>(0.85*$D$11*AV38*$D$15*($D$14/2-AV38/2)+SUMPRODUCT($AH$8:$AH$17,(ABS(6000*(1-$AG$8:$AG$17/AU38)+$D$12)-ABS(6000*(1-$AG$8:$AG$17/AU38)-$D$12))/2-0.85*$D$11*($AG$8:$AG$17&lt;AV38),$D$14/2-$AG$8:$AG$17))/100000</f>
        <v/>
      </c>
      <c r="AY38" s="46">
        <f>IF(AW38&lt;=0,0.9,MAX(0.7,0.9/(1+0.2*AW38/$D$72)))</f>
        <v/>
      </c>
      <c r="AZ38" s="46">
        <f>MIN(AY38*AW38,$D$68)</f>
        <v/>
      </c>
      <c r="BA38" s="46">
        <f>MAX(0,AY38*AX38)</f>
        <v/>
      </c>
      <c r="BB38" s="46">
        <f>IF(BC38&gt;0,-BA38/BC38,-1E+9)</f>
        <v/>
      </c>
      <c r="BC38" s="46">
        <f>AY38*AW38</f>
        <v/>
      </c>
    </row>
    <row r="39" ht="24" customHeight="1">
      <c r="B39" s="36" t="inlineStr">
        <is>
          <t>Combinación</t>
        </is>
      </c>
      <c r="C39" s="37" t="inlineStr">
        <is>
          <t>Pu (t)</t>
        </is>
      </c>
      <c r="D39" s="37" t="inlineStr">
        <is>
          <t>Mux (t·m)</t>
        </is>
      </c>
      <c r="E39" s="37" t="inlineStr">
        <is>
          <t>Muy (t·m)</t>
        </is>
      </c>
      <c r="F39" s="37" t="inlineStr">
        <is>
          <t>φMnx (t·m)</t>
        </is>
      </c>
      <c r="G39" s="37" t="inlineStr">
        <is>
          <t>φMny (t·m)</t>
        </is>
      </c>
      <c r="H39" s="37" t="inlineStr">
        <is>
          <t>D/C</t>
        </is>
      </c>
      <c r="AK39" s="46">
        <f>0.95*$D$15</f>
        <v/>
      </c>
      <c r="AL39" s="46">
        <f>MIN($D$66*AK39,$D$15)</f>
        <v/>
      </c>
      <c r="AM39" s="46">
        <f>(0.85*$D$11*AL39*$D$14+SUMPRODUCT($AF$8:$AF$17,(ABS(6000*(1-$AE$8:$AE$17/AK39)+$D$12)-ABS(6000*(1-$AE$8:$AE$17/AK39)-$D$12))/2-0.85*$D$11*($AE$8:$AE$17&lt;AL39)))/1000</f>
        <v/>
      </c>
      <c r="AN39" s="46">
        <f>(0.85*$D$11*AL39*$D$14*($D$15/2-AL39/2)+SUMPRODUCT($AF$8:$AF$17,(ABS(6000*(1-$AE$8:$AE$17/AK39)+$D$12)-ABS(6000*(1-$AE$8:$AE$17/AK39)-$D$12))/2-0.85*$D$11*($AE$8:$AE$17&lt;AL39),$D$15/2-$AE$8:$AE$17))/100000</f>
        <v/>
      </c>
      <c r="AO39" s="46">
        <f>IF(AM39&lt;=0,0.9,MAX(0.7,0.9/(1+0.2*AM39/$D$71)))</f>
        <v/>
      </c>
      <c r="AP39" s="46">
        <f>MIN(AO39*AM39,$D$68)</f>
        <v/>
      </c>
      <c r="AQ39" s="46">
        <f>MAX(0,AO39*AN39)</f>
        <v/>
      </c>
      <c r="AR39" s="46">
        <f>IF(AS39&gt;0,-AQ39/AS39,-1E+9)</f>
        <v/>
      </c>
      <c r="AS39" s="46">
        <f>AO39*AM39</f>
        <v/>
      </c>
      <c r="AU39" s="46">
        <f>0.95*$D$14</f>
        <v/>
      </c>
      <c r="AV39" s="46">
        <f>MIN($D$66*AU39,$D$14)</f>
        <v/>
      </c>
      <c r="AW39" s="46">
        <f>(0.85*$D$11*AV39*$D$15+SUMPRODUCT($AH$8:$AH$17,(ABS(6000*(1-$AG$8:$AG$17/AU39)+$D$12)-ABS(6000*(1-$AG$8:$AG$17/AU39)-$D$12))/2-0.85*$D$11*($AG$8:$AG$17&lt;AV39)))/1000</f>
        <v/>
      </c>
      <c r="AX39" s="46">
        <f>(0.85*$D$11*AV39*$D$15*($D$14/2-AV39/2)+SUMPRODUCT($AH$8:$AH$17,(ABS(6000*(1-$AG$8:$AG$17/AU39)+$D$12)-ABS(6000*(1-$AG$8:$AG$17/AU39)-$D$12))/2-0.85*$D$11*($AG$8:$AG$17&lt;AV39),$D$14/2-$AG$8:$AG$17))/100000</f>
        <v/>
      </c>
      <c r="AY39" s="46">
        <f>IF(AW39&lt;=0,0.9,MAX(0.7,0.9/(1+0.2*AW39/$D$72)))</f>
        <v/>
      </c>
      <c r="AZ39" s="46">
        <f>MIN(AY39*AW39,$D$68)</f>
        <v/>
      </c>
      <c r="BA39" s="46">
        <f>MAX(0,AY39*AX39)</f>
        <v/>
      </c>
      <c r="BB39" s="46">
        <f>IF(BC39&gt;0,-BA39/BC39,-1E+9)</f>
        <v/>
      </c>
      <c r="BC39" s="46">
        <f>AY39*AW39</f>
        <v/>
      </c>
      <c r="BE39" s="45" t="inlineStr">
        <is>
          <t>|Mux|c</t>
        </is>
      </c>
      <c r="BF39" s="45" t="inlineStr">
        <is>
          <t>|Muy|c</t>
        </is>
      </c>
      <c r="BG39" s="45" t="inlineStr">
        <is>
          <t>iX</t>
        </is>
      </c>
      <c r="BH39" s="45" t="inlineStr">
        <is>
          <t>iY</t>
        </is>
      </c>
      <c r="BI39" s="45" t="inlineStr">
        <is>
          <t>φMnx</t>
        </is>
      </c>
      <c r="BJ39" s="45" t="inlineStr">
        <is>
          <t>φMny</t>
        </is>
      </c>
      <c r="BK39" s="45" t="inlineStr">
        <is>
          <t>eX</t>
        </is>
      </c>
      <c r="BL39" s="45" t="inlineStr">
        <is>
          <t>eY</t>
        </is>
      </c>
      <c r="BM39" s="45" t="inlineStr">
        <is>
          <t>jX</t>
        </is>
      </c>
      <c r="BN39" s="45" t="inlineStr">
        <is>
          <t>jY</t>
        </is>
      </c>
      <c r="BO39" s="45" t="inlineStr">
        <is>
          <t>φPnx</t>
        </is>
      </c>
      <c r="BP39" s="45" t="inlineStr">
        <is>
          <t>φPny</t>
        </is>
      </c>
      <c r="BQ39" s="45" t="inlineStr">
        <is>
          <t>φPni</t>
        </is>
      </c>
      <c r="BR39" s="45" t="inlineStr">
        <is>
          <t>D/C</t>
        </is>
      </c>
      <c r="BS39" s="45" t="inlineStr">
        <is>
          <t>δx</t>
        </is>
      </c>
      <c r="BT39" s="45" t="inlineStr">
        <is>
          <t>δy</t>
        </is>
      </c>
      <c r="BU39" s="45" t="inlineStr">
        <is>
          <t>Mnx</t>
        </is>
      </c>
      <c r="BV39" s="45" t="inlineStr">
        <is>
          <t>Mny</t>
        </is>
      </c>
    </row>
    <row r="40">
      <c r="B40" s="47" t="inlineStr">
        <is>
          <t>1.4CM + 1.7CV</t>
        </is>
      </c>
      <c r="C40" s="25" t="n">
        <v>145</v>
      </c>
      <c r="D40" s="25" t="n">
        <v>3</v>
      </c>
      <c r="E40" s="25" t="n">
        <v>1.5</v>
      </c>
      <c r="F40" s="34">
        <f>BI40</f>
        <v/>
      </c>
      <c r="G40" s="34">
        <f>BJ40</f>
        <v/>
      </c>
      <c r="H40" s="34">
        <f>BR40</f>
        <v/>
      </c>
      <c r="AK40" s="46">
        <f>1.0*$D$15</f>
        <v/>
      </c>
      <c r="AL40" s="46">
        <f>MIN($D$66*AK40,$D$15)</f>
        <v/>
      </c>
      <c r="AM40" s="46">
        <f>(0.85*$D$11*AL40*$D$14+SUMPRODUCT($AF$8:$AF$17,(ABS(6000*(1-$AE$8:$AE$17/AK40)+$D$12)-ABS(6000*(1-$AE$8:$AE$17/AK40)-$D$12))/2-0.85*$D$11*($AE$8:$AE$17&lt;AL40)))/1000</f>
        <v/>
      </c>
      <c r="AN40" s="46">
        <f>(0.85*$D$11*AL40*$D$14*($D$15/2-AL40/2)+SUMPRODUCT($AF$8:$AF$17,(ABS(6000*(1-$AE$8:$AE$17/AK40)+$D$12)-ABS(6000*(1-$AE$8:$AE$17/AK40)-$D$12))/2-0.85*$D$11*($AE$8:$AE$17&lt;AL40),$D$15/2-$AE$8:$AE$17))/100000</f>
        <v/>
      </c>
      <c r="AO40" s="46">
        <f>IF(AM40&lt;=0,0.9,MAX(0.7,0.9/(1+0.2*AM40/$D$71)))</f>
        <v/>
      </c>
      <c r="AP40" s="46">
        <f>MIN(AO40*AM40,$D$68)</f>
        <v/>
      </c>
      <c r="AQ40" s="46">
        <f>MAX(0,AO40*AN40)</f>
        <v/>
      </c>
      <c r="AR40" s="46">
        <f>IF(AS40&gt;0,-AQ40/AS40,-1E+9)</f>
        <v/>
      </c>
      <c r="AS40" s="46">
        <f>AO40*AM40</f>
        <v/>
      </c>
      <c r="AU40" s="46">
        <f>1.0*$D$14</f>
        <v/>
      </c>
      <c r="AV40" s="46">
        <f>MIN($D$66*AU40,$D$14)</f>
        <v/>
      </c>
      <c r="AW40" s="46">
        <f>(0.85*$D$11*AV40*$D$15+SUMPRODUCT($AH$8:$AH$17,(ABS(6000*(1-$AG$8:$AG$17/AU40)+$D$12)-ABS(6000*(1-$AG$8:$AG$17/AU40)-$D$12))/2-0.85*$D$11*($AG$8:$AG$17&lt;AV40)))/1000</f>
        <v/>
      </c>
      <c r="AX40" s="46">
        <f>(0.85*$D$11*AV40*$D$15*($D$14/2-AV40/2)+SUMPRODUCT($AH$8:$AH$17,(ABS(6000*(1-$AG$8:$AG$17/AU40)+$D$12)-ABS(6000*(1-$AG$8:$AG$17/AU40)-$D$12))/2-0.85*$D$11*($AG$8:$AG$17&lt;AV40),$D$14/2-$AG$8:$AG$17))/100000</f>
        <v/>
      </c>
      <c r="AY40" s="46">
        <f>IF(AW40&lt;=0,0.9,MAX(0.7,0.9/(1+0.2*AW40/$D$72)))</f>
        <v/>
      </c>
      <c r="AZ40" s="46">
        <f>MIN(AY40*AW40,$D$68)</f>
        <v/>
      </c>
      <c r="BA40" s="46">
        <f>MAX(0,AY40*AX40)</f>
        <v/>
      </c>
      <c r="BB40" s="46">
        <f>IF(BC40&gt;0,-BA40/BC40,-1E+9)</f>
        <v/>
      </c>
      <c r="BC40" s="46">
        <f>AY40*AW40</f>
        <v/>
      </c>
      <c r="BE40" s="45">
        <f>BS40*IF(AND($D$74&gt;=$D$73,$D$26="Sí"),MAX(ABS($D$40),MAX(0,$C$40)*(1.5+0.03*$D$15)/100),ABS($D$40))</f>
        <v/>
      </c>
      <c r="BF40" s="45">
        <f>BT40*IF(AND($D$75&gt;=$D$73,$D$26="Sí"),MAX(ABS($E$40),MAX(0,$C$40)*(1.5+0.03*$D$14)/100),ABS($E$40))</f>
        <v/>
      </c>
      <c r="BG40" s="45">
        <f>IFERROR(MATCH($C$40,$AP$9:$AP$48,1),0)</f>
        <v/>
      </c>
      <c r="BH40" s="45">
        <f>IFERROR(MATCH($C$40,$AZ$9:$AZ$48,1),0)</f>
        <v/>
      </c>
      <c r="BI40" s="45">
        <f>IF(BG40&lt;=0,INDEX($AQ$9:$AQ$48,1),IF(BG40&gt;=40,INDEX($AQ$9:$AQ$48,40),INDEX($AQ$9:$AQ$48,BG40)+(INDEX($AQ$9:$AQ$48,BG40+1)-INDEX($AQ$9:$AQ$48,BG40))*($C$40-INDEX($AP$9:$AP$48,BG40))/MAX(1E-9,INDEX($AP$9:$AP$48,BG40+1)-INDEX($AP$9:$AP$48,BG40))))</f>
        <v/>
      </c>
      <c r="BJ40" s="45">
        <f>IF(BH40&lt;=0,INDEX($BA$9:$BA$48,1),IF(BH40&gt;=40,INDEX($BA$9:$BA$48,40),INDEX($BA$9:$BA$48,BH40)+(INDEX($BA$9:$BA$48,BH40+1)-INDEX($BA$9:$BA$48,BH40))*($C$40-INDEX($AZ$9:$AZ$48,BH40))/MAX(1E-9,INDEX($AZ$9:$AZ$48,BH40+1)-INDEX($AZ$9:$AZ$48,BH40))))</f>
        <v/>
      </c>
      <c r="BK40" s="45">
        <f>IF($C$40&gt;0,BE40/$C$40,0)</f>
        <v/>
      </c>
      <c r="BL40" s="45">
        <f>IF($C$40&gt;0,BF40/$C$40,0)</f>
        <v/>
      </c>
      <c r="BM40" s="45">
        <f>IFERROR(MATCH(-BK40,$AR$9:$AR$48,1),0)</f>
        <v/>
      </c>
      <c r="BN40" s="45">
        <f>IFERROR(MATCH(-BL40,$BB$9:$BB$48,1),0)</f>
        <v/>
      </c>
      <c r="BO40" s="45">
        <f>IF(BM40&lt;=0,INDEX($AS$9:$AS$48,1),IF(BM40&gt;=40,INDEX($AS$9:$AS$48,40),INDEX($AS$9:$AS$48,BM40)+(INDEX($AS$9:$AS$48,BM40+1)-INDEX($AS$9:$AS$48,BM40))*(-BK40-INDEX($AR$9:$AR$48,BM40))/MAX(1E-9,INDEX($AR$9:$AR$48,BM40+1)-INDEX($AR$9:$AR$48,BM40))))</f>
        <v/>
      </c>
      <c r="BP40" s="45">
        <f>IF(BN40&lt;=0,INDEX($BC$9:$BC$48,1),IF(BN40&gt;=40,INDEX($BC$9:$BC$48,40),INDEX($BC$9:$BC$48,BN40)+(INDEX($BC$9:$BC$48,BN40+1)-INDEX($BC$9:$BC$48,BN40))*(-BL40-INDEX($BB$9:$BB$48,BN40))/MAX(1E-9,INDEX($BB$9:$BB$48,BN40+1)-INDEX($BB$9:$BB$48,BN40))))</f>
        <v/>
      </c>
      <c r="BQ40" s="45">
        <f>IFERROR(1/(1/BO40+1/BP40-1/(0.7*$D$67)),0.0001)</f>
        <v/>
      </c>
      <c r="BR40" s="45">
        <f>IF(AND($C$40=0,$D$40=0,$E$40=0),0,IF($C$40&gt;$D$68,99,IF($C$40&gt;=0.1*$D$11*$D$58/1000,$C$40/MAX(0.0001,MIN(BQ40,$D$68)),BE40/MAX(0.0001,BI40)+BF40/MAX(0.0001,BJ40))))</f>
        <v/>
      </c>
      <c r="BS40" s="45">
        <f>IF($D$74&lt;$D$73,1,IF($D$26="Sí",IF($C$40&gt;=0.75*$D$77,99,MAX(1,$D$79/(1-MAX(0,$C$40)/(0.75*$D$77)))),$D$80))</f>
        <v/>
      </c>
      <c r="BT40" s="45">
        <f>IF($D$75&lt;$D$73,1,IF($D$26="Sí",IF($C$40&gt;=0.75*$D$78,99,MAX(1,$D$79/(1-MAX(0,$C$40)/(0.75*$D$78)))),$D$80))</f>
        <v/>
      </c>
      <c r="BU40" s="45">
        <f>IF(IFERROR(MATCH($C$40,$AM$9:$AM$48,1),0)&lt;=0,INDEX($AN$9:$AN$48,1),IF(IFERROR(MATCH($C$40,$AM$9:$AM$48,1),0)&gt;=40,INDEX($AN$9:$AN$48,40),INDEX($AN$9:$AN$48,IFERROR(MATCH($C$40,$AM$9:$AM$48,1),0))+(INDEX($AN$9:$AN$48,IFERROR(MATCH($C$40,$AM$9:$AM$48,1),0)+1)-INDEX($AN$9:$AN$48,IFERROR(MATCH($C$40,$AM$9:$AM$48,1),0)))*($C$40-INDEX($AM$9:$AM$48,IFERROR(MATCH($C$40,$AM$9:$AM$48,1),0)))/MAX(1E-9,INDEX($AM$9:$AM$48,IFERROR(MATCH($C$40,$AM$9:$AM$48,1),0)+1)-INDEX($AM$9:$AM$48,IFERROR(MATCH($C$40,$AM$9:$AM$48,1),0)))))</f>
        <v/>
      </c>
      <c r="BV40" s="45">
        <f>IF(IFERROR(MATCH($C$40,$AW$9:$AW$48,1),0)&lt;=0,INDEX($AX$9:$AX$48,1),IF(IFERROR(MATCH($C$40,$AW$9:$AW$48,1),0)&gt;=40,INDEX($AX$9:$AX$48,40),INDEX($AX$9:$AX$48,IFERROR(MATCH($C$40,$AW$9:$AW$48,1),0))+(INDEX($AX$9:$AX$48,IFERROR(MATCH($C$40,$AW$9:$AW$48,1),0)+1)-INDEX($AX$9:$AX$48,IFERROR(MATCH($C$40,$AW$9:$AW$48,1),0)))*($C$40-INDEX($AW$9:$AW$48,IFERROR(MATCH($C$40,$AW$9:$AW$48,1),0)))/MAX(1E-9,INDEX($AW$9:$AW$48,IFERROR(MATCH($C$40,$AW$9:$AW$48,1),0)+1)-INDEX($AW$9:$AW$48,IFERROR(MATCH($C$40,$AW$9:$AW$48,1),0)))))</f>
        <v/>
      </c>
    </row>
    <row r="41">
      <c r="B41" s="47" t="inlineStr">
        <is>
          <t>1.25(CM+CV) + SX</t>
        </is>
      </c>
      <c r="C41" s="25" t="n">
        <v>128</v>
      </c>
      <c r="D41" s="25" t="n">
        <v>4</v>
      </c>
      <c r="E41" s="25" t="n">
        <v>9.5</v>
      </c>
      <c r="F41" s="34">
        <f>BI41</f>
        <v/>
      </c>
      <c r="G41" s="34">
        <f>BJ41</f>
        <v/>
      </c>
      <c r="H41" s="34">
        <f>BR41</f>
        <v/>
      </c>
      <c r="AK41" s="46">
        <f>1.1*$D$15</f>
        <v/>
      </c>
      <c r="AL41" s="46">
        <f>MIN($D$66*AK41,$D$15)</f>
        <v/>
      </c>
      <c r="AM41" s="46">
        <f>(0.85*$D$11*AL41*$D$14+SUMPRODUCT($AF$8:$AF$17,(ABS(6000*(1-$AE$8:$AE$17/AK41)+$D$12)-ABS(6000*(1-$AE$8:$AE$17/AK41)-$D$12))/2-0.85*$D$11*($AE$8:$AE$17&lt;AL41)))/1000</f>
        <v/>
      </c>
      <c r="AN41" s="46">
        <f>(0.85*$D$11*AL41*$D$14*($D$15/2-AL41/2)+SUMPRODUCT($AF$8:$AF$17,(ABS(6000*(1-$AE$8:$AE$17/AK41)+$D$12)-ABS(6000*(1-$AE$8:$AE$17/AK41)-$D$12))/2-0.85*$D$11*($AE$8:$AE$17&lt;AL41),$D$15/2-$AE$8:$AE$17))/100000</f>
        <v/>
      </c>
      <c r="AO41" s="46">
        <f>IF(AM41&lt;=0,0.9,MAX(0.7,0.9/(1+0.2*AM41/$D$71)))</f>
        <v/>
      </c>
      <c r="AP41" s="46">
        <f>MIN(AO41*AM41,$D$68)</f>
        <v/>
      </c>
      <c r="AQ41" s="46">
        <f>MAX(0,AO41*AN41)</f>
        <v/>
      </c>
      <c r="AR41" s="46">
        <f>IF(AS41&gt;0,-AQ41/AS41,-1E+9)</f>
        <v/>
      </c>
      <c r="AS41" s="46">
        <f>AO41*AM41</f>
        <v/>
      </c>
      <c r="AU41" s="46">
        <f>1.1*$D$14</f>
        <v/>
      </c>
      <c r="AV41" s="46">
        <f>MIN($D$66*AU41,$D$14)</f>
        <v/>
      </c>
      <c r="AW41" s="46">
        <f>(0.85*$D$11*AV41*$D$15+SUMPRODUCT($AH$8:$AH$17,(ABS(6000*(1-$AG$8:$AG$17/AU41)+$D$12)-ABS(6000*(1-$AG$8:$AG$17/AU41)-$D$12))/2-0.85*$D$11*($AG$8:$AG$17&lt;AV41)))/1000</f>
        <v/>
      </c>
      <c r="AX41" s="46">
        <f>(0.85*$D$11*AV41*$D$15*($D$14/2-AV41/2)+SUMPRODUCT($AH$8:$AH$17,(ABS(6000*(1-$AG$8:$AG$17/AU41)+$D$12)-ABS(6000*(1-$AG$8:$AG$17/AU41)-$D$12))/2-0.85*$D$11*($AG$8:$AG$17&lt;AV41),$D$14/2-$AG$8:$AG$17))/100000</f>
        <v/>
      </c>
      <c r="AY41" s="46">
        <f>IF(AW41&lt;=0,0.9,MAX(0.7,0.9/(1+0.2*AW41/$D$72)))</f>
        <v/>
      </c>
      <c r="AZ41" s="46">
        <f>MIN(AY41*AW41,$D$68)</f>
        <v/>
      </c>
      <c r="BA41" s="46">
        <f>MAX(0,AY41*AX41)</f>
        <v/>
      </c>
      <c r="BB41" s="46">
        <f>IF(BC41&gt;0,-BA41/BC41,-1E+9)</f>
        <v/>
      </c>
      <c r="BC41" s="46">
        <f>AY41*AW41</f>
        <v/>
      </c>
      <c r="BE41" s="45">
        <f>BS41*IF(AND($D$74&gt;=$D$73,$D$26="Sí"),MAX(ABS($D$41),MAX(0,$C$41)*(1.5+0.03*$D$15)/100),ABS($D$41))</f>
        <v/>
      </c>
      <c r="BF41" s="45">
        <f>BT41*IF(AND($D$75&gt;=$D$73,$D$26="Sí"),MAX(ABS($E$41),MAX(0,$C$41)*(1.5+0.03*$D$14)/100),ABS($E$41))</f>
        <v/>
      </c>
      <c r="BG41" s="45">
        <f>IFERROR(MATCH($C$41,$AP$9:$AP$48,1),0)</f>
        <v/>
      </c>
      <c r="BH41" s="45">
        <f>IFERROR(MATCH($C$41,$AZ$9:$AZ$48,1),0)</f>
        <v/>
      </c>
      <c r="BI41" s="45">
        <f>IF(BG41&lt;=0,INDEX($AQ$9:$AQ$48,1),IF(BG41&gt;=40,INDEX($AQ$9:$AQ$48,40),INDEX($AQ$9:$AQ$48,BG41)+(INDEX($AQ$9:$AQ$48,BG41+1)-INDEX($AQ$9:$AQ$48,BG41))*($C$41-INDEX($AP$9:$AP$48,BG41))/MAX(1E-9,INDEX($AP$9:$AP$48,BG41+1)-INDEX($AP$9:$AP$48,BG41))))</f>
        <v/>
      </c>
      <c r="BJ41" s="45">
        <f>IF(BH41&lt;=0,INDEX($BA$9:$BA$48,1),IF(BH41&gt;=40,INDEX($BA$9:$BA$48,40),INDEX($BA$9:$BA$48,BH41)+(INDEX($BA$9:$BA$48,BH41+1)-INDEX($BA$9:$BA$48,BH41))*($C$41-INDEX($AZ$9:$AZ$48,BH41))/MAX(1E-9,INDEX($AZ$9:$AZ$48,BH41+1)-INDEX($AZ$9:$AZ$48,BH41))))</f>
        <v/>
      </c>
      <c r="BK41" s="45">
        <f>IF($C$41&gt;0,BE41/$C$41,0)</f>
        <v/>
      </c>
      <c r="BL41" s="45">
        <f>IF($C$41&gt;0,BF41/$C$41,0)</f>
        <v/>
      </c>
      <c r="BM41" s="45">
        <f>IFERROR(MATCH(-BK41,$AR$9:$AR$48,1),0)</f>
        <v/>
      </c>
      <c r="BN41" s="45">
        <f>IFERROR(MATCH(-BL41,$BB$9:$BB$48,1),0)</f>
        <v/>
      </c>
      <c r="BO41" s="45">
        <f>IF(BM41&lt;=0,INDEX($AS$9:$AS$48,1),IF(BM41&gt;=40,INDEX($AS$9:$AS$48,40),INDEX($AS$9:$AS$48,BM41)+(INDEX($AS$9:$AS$48,BM41+1)-INDEX($AS$9:$AS$48,BM41))*(-BK41-INDEX($AR$9:$AR$48,BM41))/MAX(1E-9,INDEX($AR$9:$AR$48,BM41+1)-INDEX($AR$9:$AR$48,BM41))))</f>
        <v/>
      </c>
      <c r="BP41" s="45">
        <f>IF(BN41&lt;=0,INDEX($BC$9:$BC$48,1),IF(BN41&gt;=40,INDEX($BC$9:$BC$48,40),INDEX($BC$9:$BC$48,BN41)+(INDEX($BC$9:$BC$48,BN41+1)-INDEX($BC$9:$BC$48,BN41))*(-BL41-INDEX($BB$9:$BB$48,BN41))/MAX(1E-9,INDEX($BB$9:$BB$48,BN41+1)-INDEX($BB$9:$BB$48,BN41))))</f>
        <v/>
      </c>
      <c r="BQ41" s="45">
        <f>IFERROR(1/(1/BO41+1/BP41-1/(0.7*$D$67)),0.0001)</f>
        <v/>
      </c>
      <c r="BR41" s="45">
        <f>IF(AND($C$41=0,$D$41=0,$E$41=0),0,IF($C$41&gt;$D$68,99,IF($C$41&gt;=0.1*$D$11*$D$58/1000,$C$41/MAX(0.0001,MIN(BQ41,$D$68)),BE41/MAX(0.0001,BI41)+BF41/MAX(0.0001,BJ41))))</f>
        <v/>
      </c>
      <c r="BS41" s="45">
        <f>IF($D$74&lt;$D$73,1,IF($D$26="Sí",IF($C$41&gt;=0.75*$D$77,99,MAX(1,$D$79/(1-MAX(0,$C$41)/(0.75*$D$77)))),$D$80))</f>
        <v/>
      </c>
      <c r="BT41" s="45">
        <f>IF($D$75&lt;$D$73,1,IF($D$26="Sí",IF($C$41&gt;=0.75*$D$78,99,MAX(1,$D$79/(1-MAX(0,$C$41)/(0.75*$D$78)))),$D$80))</f>
        <v/>
      </c>
      <c r="BU41" s="45">
        <f>IF(IFERROR(MATCH($C$41,$AM$9:$AM$48,1),0)&lt;=0,INDEX($AN$9:$AN$48,1),IF(IFERROR(MATCH($C$41,$AM$9:$AM$48,1),0)&gt;=40,INDEX($AN$9:$AN$48,40),INDEX($AN$9:$AN$48,IFERROR(MATCH($C$41,$AM$9:$AM$48,1),0))+(INDEX($AN$9:$AN$48,IFERROR(MATCH($C$41,$AM$9:$AM$48,1),0)+1)-INDEX($AN$9:$AN$48,IFERROR(MATCH($C$41,$AM$9:$AM$48,1),0)))*($C$41-INDEX($AM$9:$AM$48,IFERROR(MATCH($C$41,$AM$9:$AM$48,1),0)))/MAX(1E-9,INDEX($AM$9:$AM$48,IFERROR(MATCH($C$41,$AM$9:$AM$48,1),0)+1)-INDEX($AM$9:$AM$48,IFERROR(MATCH($C$41,$AM$9:$AM$48,1),0)))))</f>
        <v/>
      </c>
      <c r="BV41" s="45">
        <f>IF(IFERROR(MATCH($C$41,$AW$9:$AW$48,1),0)&lt;=0,INDEX($AX$9:$AX$48,1),IF(IFERROR(MATCH($C$41,$AW$9:$AW$48,1),0)&gt;=40,INDEX($AX$9:$AX$48,40),INDEX($AX$9:$AX$48,IFERROR(MATCH($C$41,$AW$9:$AW$48,1),0))+(INDEX($AX$9:$AX$48,IFERROR(MATCH($C$41,$AW$9:$AW$48,1),0)+1)-INDEX($AX$9:$AX$48,IFERROR(MATCH($C$41,$AW$9:$AW$48,1),0)))*($C$41-INDEX($AW$9:$AW$48,IFERROR(MATCH($C$41,$AW$9:$AW$48,1),0)))/MAX(1E-9,INDEX($AW$9:$AW$48,IFERROR(MATCH($C$41,$AW$9:$AW$48,1),0)+1)-INDEX($AW$9:$AW$48,IFERROR(MATCH($C$41,$AW$9:$AW$48,1),0)))))</f>
        <v/>
      </c>
    </row>
    <row r="42">
      <c r="B42" s="47" t="inlineStr">
        <is>
          <t>1.25(CM+CV) − SX</t>
        </is>
      </c>
      <c r="C42" s="25" t="n">
        <v>120</v>
      </c>
      <c r="D42" s="25" t="n">
        <v>2</v>
      </c>
      <c r="E42" s="25" t="n">
        <v>-8</v>
      </c>
      <c r="F42" s="34">
        <f>BI42</f>
        <v/>
      </c>
      <c r="G42" s="34">
        <f>BJ42</f>
        <v/>
      </c>
      <c r="H42" s="34">
        <f>BR42</f>
        <v/>
      </c>
      <c r="AK42" s="46">
        <f>1.2*$D$15</f>
        <v/>
      </c>
      <c r="AL42" s="46">
        <f>MIN($D$66*AK42,$D$15)</f>
        <v/>
      </c>
      <c r="AM42" s="46">
        <f>(0.85*$D$11*AL42*$D$14+SUMPRODUCT($AF$8:$AF$17,(ABS(6000*(1-$AE$8:$AE$17/AK42)+$D$12)-ABS(6000*(1-$AE$8:$AE$17/AK42)-$D$12))/2-0.85*$D$11*($AE$8:$AE$17&lt;AL42)))/1000</f>
        <v/>
      </c>
      <c r="AN42" s="46">
        <f>(0.85*$D$11*AL42*$D$14*($D$15/2-AL42/2)+SUMPRODUCT($AF$8:$AF$17,(ABS(6000*(1-$AE$8:$AE$17/AK42)+$D$12)-ABS(6000*(1-$AE$8:$AE$17/AK42)-$D$12))/2-0.85*$D$11*($AE$8:$AE$17&lt;AL42),$D$15/2-$AE$8:$AE$17))/100000</f>
        <v/>
      </c>
      <c r="AO42" s="46">
        <f>IF(AM42&lt;=0,0.9,MAX(0.7,0.9/(1+0.2*AM42/$D$71)))</f>
        <v/>
      </c>
      <c r="AP42" s="46">
        <f>MIN(AO42*AM42,$D$68)</f>
        <v/>
      </c>
      <c r="AQ42" s="46">
        <f>MAX(0,AO42*AN42)</f>
        <v/>
      </c>
      <c r="AR42" s="46">
        <f>IF(AS42&gt;0,-AQ42/AS42,-1E+9)</f>
        <v/>
      </c>
      <c r="AS42" s="46">
        <f>AO42*AM42</f>
        <v/>
      </c>
      <c r="AU42" s="46">
        <f>1.2*$D$14</f>
        <v/>
      </c>
      <c r="AV42" s="46">
        <f>MIN($D$66*AU42,$D$14)</f>
        <v/>
      </c>
      <c r="AW42" s="46">
        <f>(0.85*$D$11*AV42*$D$15+SUMPRODUCT($AH$8:$AH$17,(ABS(6000*(1-$AG$8:$AG$17/AU42)+$D$12)-ABS(6000*(1-$AG$8:$AG$17/AU42)-$D$12))/2-0.85*$D$11*($AG$8:$AG$17&lt;AV42)))/1000</f>
        <v/>
      </c>
      <c r="AX42" s="46">
        <f>(0.85*$D$11*AV42*$D$15*($D$14/2-AV42/2)+SUMPRODUCT($AH$8:$AH$17,(ABS(6000*(1-$AG$8:$AG$17/AU42)+$D$12)-ABS(6000*(1-$AG$8:$AG$17/AU42)-$D$12))/2-0.85*$D$11*($AG$8:$AG$17&lt;AV42),$D$14/2-$AG$8:$AG$17))/100000</f>
        <v/>
      </c>
      <c r="AY42" s="46">
        <f>IF(AW42&lt;=0,0.9,MAX(0.7,0.9/(1+0.2*AW42/$D$72)))</f>
        <v/>
      </c>
      <c r="AZ42" s="46">
        <f>MIN(AY42*AW42,$D$68)</f>
        <v/>
      </c>
      <c r="BA42" s="46">
        <f>MAX(0,AY42*AX42)</f>
        <v/>
      </c>
      <c r="BB42" s="46">
        <f>IF(BC42&gt;0,-BA42/BC42,-1E+9)</f>
        <v/>
      </c>
      <c r="BC42" s="46">
        <f>AY42*AW42</f>
        <v/>
      </c>
      <c r="BE42" s="45">
        <f>BS42*IF(AND($D$74&gt;=$D$73,$D$26="Sí"),MAX(ABS($D$42),MAX(0,$C$42)*(1.5+0.03*$D$15)/100),ABS($D$42))</f>
        <v/>
      </c>
      <c r="BF42" s="45">
        <f>BT42*IF(AND($D$75&gt;=$D$73,$D$26="Sí"),MAX(ABS($E$42),MAX(0,$C$42)*(1.5+0.03*$D$14)/100),ABS($E$42))</f>
        <v/>
      </c>
      <c r="BG42" s="45">
        <f>IFERROR(MATCH($C$42,$AP$9:$AP$48,1),0)</f>
        <v/>
      </c>
      <c r="BH42" s="45">
        <f>IFERROR(MATCH($C$42,$AZ$9:$AZ$48,1),0)</f>
        <v/>
      </c>
      <c r="BI42" s="45">
        <f>IF(BG42&lt;=0,INDEX($AQ$9:$AQ$48,1),IF(BG42&gt;=40,INDEX($AQ$9:$AQ$48,40),INDEX($AQ$9:$AQ$48,BG42)+(INDEX($AQ$9:$AQ$48,BG42+1)-INDEX($AQ$9:$AQ$48,BG42))*($C$42-INDEX($AP$9:$AP$48,BG42))/MAX(1E-9,INDEX($AP$9:$AP$48,BG42+1)-INDEX($AP$9:$AP$48,BG42))))</f>
        <v/>
      </c>
      <c r="BJ42" s="45">
        <f>IF(BH42&lt;=0,INDEX($BA$9:$BA$48,1),IF(BH42&gt;=40,INDEX($BA$9:$BA$48,40),INDEX($BA$9:$BA$48,BH42)+(INDEX($BA$9:$BA$48,BH42+1)-INDEX($BA$9:$BA$48,BH42))*($C$42-INDEX($AZ$9:$AZ$48,BH42))/MAX(1E-9,INDEX($AZ$9:$AZ$48,BH42+1)-INDEX($AZ$9:$AZ$48,BH42))))</f>
        <v/>
      </c>
      <c r="BK42" s="45">
        <f>IF($C$42&gt;0,BE42/$C$42,0)</f>
        <v/>
      </c>
      <c r="BL42" s="45">
        <f>IF($C$42&gt;0,BF42/$C$42,0)</f>
        <v/>
      </c>
      <c r="BM42" s="45">
        <f>IFERROR(MATCH(-BK42,$AR$9:$AR$48,1),0)</f>
        <v/>
      </c>
      <c r="BN42" s="45">
        <f>IFERROR(MATCH(-BL42,$BB$9:$BB$48,1),0)</f>
        <v/>
      </c>
      <c r="BO42" s="45">
        <f>IF(BM42&lt;=0,INDEX($AS$9:$AS$48,1),IF(BM42&gt;=40,INDEX($AS$9:$AS$48,40),INDEX($AS$9:$AS$48,BM42)+(INDEX($AS$9:$AS$48,BM42+1)-INDEX($AS$9:$AS$48,BM42))*(-BK42-INDEX($AR$9:$AR$48,BM42))/MAX(1E-9,INDEX($AR$9:$AR$48,BM42+1)-INDEX($AR$9:$AR$48,BM42))))</f>
        <v/>
      </c>
      <c r="BP42" s="45">
        <f>IF(BN42&lt;=0,INDEX($BC$9:$BC$48,1),IF(BN42&gt;=40,INDEX($BC$9:$BC$48,40),INDEX($BC$9:$BC$48,BN42)+(INDEX($BC$9:$BC$48,BN42+1)-INDEX($BC$9:$BC$48,BN42))*(-BL42-INDEX($BB$9:$BB$48,BN42))/MAX(1E-9,INDEX($BB$9:$BB$48,BN42+1)-INDEX($BB$9:$BB$48,BN42))))</f>
        <v/>
      </c>
      <c r="BQ42" s="45">
        <f>IFERROR(1/(1/BO42+1/BP42-1/(0.7*$D$67)),0.0001)</f>
        <v/>
      </c>
      <c r="BR42" s="45">
        <f>IF(AND($C$42=0,$D$42=0,$E$42=0),0,IF($C$42&gt;$D$68,99,IF($C$42&gt;=0.1*$D$11*$D$58/1000,$C$42/MAX(0.0001,MIN(BQ42,$D$68)),BE42/MAX(0.0001,BI42)+BF42/MAX(0.0001,BJ42))))</f>
        <v/>
      </c>
      <c r="BS42" s="45">
        <f>IF($D$74&lt;$D$73,1,IF($D$26="Sí",IF($C$42&gt;=0.75*$D$77,99,MAX(1,$D$79/(1-MAX(0,$C$42)/(0.75*$D$77)))),$D$80))</f>
        <v/>
      </c>
      <c r="BT42" s="45">
        <f>IF($D$75&lt;$D$73,1,IF($D$26="Sí",IF($C$42&gt;=0.75*$D$78,99,MAX(1,$D$79/(1-MAX(0,$C$42)/(0.75*$D$78)))),$D$80))</f>
        <v/>
      </c>
      <c r="BU42" s="45">
        <f>IF(IFERROR(MATCH($C$42,$AM$9:$AM$48,1),0)&lt;=0,INDEX($AN$9:$AN$48,1),IF(IFERROR(MATCH($C$42,$AM$9:$AM$48,1),0)&gt;=40,INDEX($AN$9:$AN$48,40),INDEX($AN$9:$AN$48,IFERROR(MATCH($C$42,$AM$9:$AM$48,1),0))+(INDEX($AN$9:$AN$48,IFERROR(MATCH($C$42,$AM$9:$AM$48,1),0)+1)-INDEX($AN$9:$AN$48,IFERROR(MATCH($C$42,$AM$9:$AM$48,1),0)))*($C$42-INDEX($AM$9:$AM$48,IFERROR(MATCH($C$42,$AM$9:$AM$48,1),0)))/MAX(1E-9,INDEX($AM$9:$AM$48,IFERROR(MATCH($C$42,$AM$9:$AM$48,1),0)+1)-INDEX($AM$9:$AM$48,IFERROR(MATCH($C$42,$AM$9:$AM$48,1),0)))))</f>
        <v/>
      </c>
      <c r="BV42" s="45">
        <f>IF(IFERROR(MATCH($C$42,$AW$9:$AW$48,1),0)&lt;=0,INDEX($AX$9:$AX$48,1),IF(IFERROR(MATCH($C$42,$AW$9:$AW$48,1),0)&gt;=40,INDEX($AX$9:$AX$48,40),INDEX($AX$9:$AX$48,IFERROR(MATCH($C$42,$AW$9:$AW$48,1),0))+(INDEX($AX$9:$AX$48,IFERROR(MATCH($C$42,$AW$9:$AW$48,1),0)+1)-INDEX($AX$9:$AX$48,IFERROR(MATCH($C$42,$AW$9:$AW$48,1),0)))*($C$42-INDEX($AW$9:$AW$48,IFERROR(MATCH($C$42,$AW$9:$AW$48,1),0)))/MAX(1E-9,INDEX($AW$9:$AW$48,IFERROR(MATCH($C$42,$AW$9:$AW$48,1),0)+1)-INDEX($AW$9:$AW$48,IFERROR(MATCH($C$42,$AW$9:$AW$48,1),0)))))</f>
        <v/>
      </c>
    </row>
    <row r="43">
      <c r="B43" s="47" t="inlineStr">
        <is>
          <t>1.25(CM+CV) + SY</t>
        </is>
      </c>
      <c r="C43" s="25" t="n">
        <v>132</v>
      </c>
      <c r="D43" s="25" t="n">
        <v>13</v>
      </c>
      <c r="E43" s="25" t="n">
        <v>2</v>
      </c>
      <c r="F43" s="34">
        <f>BI43</f>
        <v/>
      </c>
      <c r="G43" s="34">
        <f>BJ43</f>
        <v/>
      </c>
      <c r="H43" s="34">
        <f>BR43</f>
        <v/>
      </c>
      <c r="AK43" s="46">
        <f>1.35*$D$15</f>
        <v/>
      </c>
      <c r="AL43" s="46">
        <f>MIN($D$66*AK43,$D$15)</f>
        <v/>
      </c>
      <c r="AM43" s="46">
        <f>(0.85*$D$11*AL43*$D$14+SUMPRODUCT($AF$8:$AF$17,(ABS(6000*(1-$AE$8:$AE$17/AK43)+$D$12)-ABS(6000*(1-$AE$8:$AE$17/AK43)-$D$12))/2-0.85*$D$11*($AE$8:$AE$17&lt;AL43)))/1000</f>
        <v/>
      </c>
      <c r="AN43" s="46">
        <f>(0.85*$D$11*AL43*$D$14*($D$15/2-AL43/2)+SUMPRODUCT($AF$8:$AF$17,(ABS(6000*(1-$AE$8:$AE$17/AK43)+$D$12)-ABS(6000*(1-$AE$8:$AE$17/AK43)-$D$12))/2-0.85*$D$11*($AE$8:$AE$17&lt;AL43),$D$15/2-$AE$8:$AE$17))/100000</f>
        <v/>
      </c>
      <c r="AO43" s="46">
        <f>IF(AM43&lt;=0,0.9,MAX(0.7,0.9/(1+0.2*AM43/$D$71)))</f>
        <v/>
      </c>
      <c r="AP43" s="46">
        <f>MIN(AO43*AM43,$D$68)</f>
        <v/>
      </c>
      <c r="AQ43" s="46">
        <f>MAX(0,AO43*AN43)</f>
        <v/>
      </c>
      <c r="AR43" s="46">
        <f>IF(AS43&gt;0,-AQ43/AS43,-1E+9)</f>
        <v/>
      </c>
      <c r="AS43" s="46">
        <f>AO43*AM43</f>
        <v/>
      </c>
      <c r="AU43" s="46">
        <f>1.35*$D$14</f>
        <v/>
      </c>
      <c r="AV43" s="46">
        <f>MIN($D$66*AU43,$D$14)</f>
        <v/>
      </c>
      <c r="AW43" s="46">
        <f>(0.85*$D$11*AV43*$D$15+SUMPRODUCT($AH$8:$AH$17,(ABS(6000*(1-$AG$8:$AG$17/AU43)+$D$12)-ABS(6000*(1-$AG$8:$AG$17/AU43)-$D$12))/2-0.85*$D$11*($AG$8:$AG$17&lt;AV43)))/1000</f>
        <v/>
      </c>
      <c r="AX43" s="46">
        <f>(0.85*$D$11*AV43*$D$15*($D$14/2-AV43/2)+SUMPRODUCT($AH$8:$AH$17,(ABS(6000*(1-$AG$8:$AG$17/AU43)+$D$12)-ABS(6000*(1-$AG$8:$AG$17/AU43)-$D$12))/2-0.85*$D$11*($AG$8:$AG$17&lt;AV43),$D$14/2-$AG$8:$AG$17))/100000</f>
        <v/>
      </c>
      <c r="AY43" s="46">
        <f>IF(AW43&lt;=0,0.9,MAX(0.7,0.9/(1+0.2*AW43/$D$72)))</f>
        <v/>
      </c>
      <c r="AZ43" s="46">
        <f>MIN(AY43*AW43,$D$68)</f>
        <v/>
      </c>
      <c r="BA43" s="46">
        <f>MAX(0,AY43*AX43)</f>
        <v/>
      </c>
      <c r="BB43" s="46">
        <f>IF(BC43&gt;0,-BA43/BC43,-1E+9)</f>
        <v/>
      </c>
      <c r="BC43" s="46">
        <f>AY43*AW43</f>
        <v/>
      </c>
      <c r="BE43" s="45">
        <f>BS43*IF(AND($D$74&gt;=$D$73,$D$26="Sí"),MAX(ABS($D$43),MAX(0,$C$43)*(1.5+0.03*$D$15)/100),ABS($D$43))</f>
        <v/>
      </c>
      <c r="BF43" s="45">
        <f>BT43*IF(AND($D$75&gt;=$D$73,$D$26="Sí"),MAX(ABS($E$43),MAX(0,$C$43)*(1.5+0.03*$D$14)/100),ABS($E$43))</f>
        <v/>
      </c>
      <c r="BG43" s="45">
        <f>IFERROR(MATCH($C$43,$AP$9:$AP$48,1),0)</f>
        <v/>
      </c>
      <c r="BH43" s="45">
        <f>IFERROR(MATCH($C$43,$AZ$9:$AZ$48,1),0)</f>
        <v/>
      </c>
      <c r="BI43" s="45">
        <f>IF(BG43&lt;=0,INDEX($AQ$9:$AQ$48,1),IF(BG43&gt;=40,INDEX($AQ$9:$AQ$48,40),INDEX($AQ$9:$AQ$48,BG43)+(INDEX($AQ$9:$AQ$48,BG43+1)-INDEX($AQ$9:$AQ$48,BG43))*($C$43-INDEX($AP$9:$AP$48,BG43))/MAX(1E-9,INDEX($AP$9:$AP$48,BG43+1)-INDEX($AP$9:$AP$48,BG43))))</f>
        <v/>
      </c>
      <c r="BJ43" s="45">
        <f>IF(BH43&lt;=0,INDEX($BA$9:$BA$48,1),IF(BH43&gt;=40,INDEX($BA$9:$BA$48,40),INDEX($BA$9:$BA$48,BH43)+(INDEX($BA$9:$BA$48,BH43+1)-INDEX($BA$9:$BA$48,BH43))*($C$43-INDEX($AZ$9:$AZ$48,BH43))/MAX(1E-9,INDEX($AZ$9:$AZ$48,BH43+1)-INDEX($AZ$9:$AZ$48,BH43))))</f>
        <v/>
      </c>
      <c r="BK43" s="45">
        <f>IF($C$43&gt;0,BE43/$C$43,0)</f>
        <v/>
      </c>
      <c r="BL43" s="45">
        <f>IF($C$43&gt;0,BF43/$C$43,0)</f>
        <v/>
      </c>
      <c r="BM43" s="45">
        <f>IFERROR(MATCH(-BK43,$AR$9:$AR$48,1),0)</f>
        <v/>
      </c>
      <c r="BN43" s="45">
        <f>IFERROR(MATCH(-BL43,$BB$9:$BB$48,1),0)</f>
        <v/>
      </c>
      <c r="BO43" s="45">
        <f>IF(BM43&lt;=0,INDEX($AS$9:$AS$48,1),IF(BM43&gt;=40,INDEX($AS$9:$AS$48,40),INDEX($AS$9:$AS$48,BM43)+(INDEX($AS$9:$AS$48,BM43+1)-INDEX($AS$9:$AS$48,BM43))*(-BK43-INDEX($AR$9:$AR$48,BM43))/MAX(1E-9,INDEX($AR$9:$AR$48,BM43+1)-INDEX($AR$9:$AR$48,BM43))))</f>
        <v/>
      </c>
      <c r="BP43" s="45">
        <f>IF(BN43&lt;=0,INDEX($BC$9:$BC$48,1),IF(BN43&gt;=40,INDEX($BC$9:$BC$48,40),INDEX($BC$9:$BC$48,BN43)+(INDEX($BC$9:$BC$48,BN43+1)-INDEX($BC$9:$BC$48,BN43))*(-BL43-INDEX($BB$9:$BB$48,BN43))/MAX(1E-9,INDEX($BB$9:$BB$48,BN43+1)-INDEX($BB$9:$BB$48,BN43))))</f>
        <v/>
      </c>
      <c r="BQ43" s="45">
        <f>IFERROR(1/(1/BO43+1/BP43-1/(0.7*$D$67)),0.0001)</f>
        <v/>
      </c>
      <c r="BR43" s="45">
        <f>IF(AND($C$43=0,$D$43=0,$E$43=0),0,IF($C$43&gt;$D$68,99,IF($C$43&gt;=0.1*$D$11*$D$58/1000,$C$43/MAX(0.0001,MIN(BQ43,$D$68)),BE43/MAX(0.0001,BI43)+BF43/MAX(0.0001,BJ43))))</f>
        <v/>
      </c>
      <c r="BS43" s="45">
        <f>IF($D$74&lt;$D$73,1,IF($D$26="Sí",IF($C$43&gt;=0.75*$D$77,99,MAX(1,$D$79/(1-MAX(0,$C$43)/(0.75*$D$77)))),$D$80))</f>
        <v/>
      </c>
      <c r="BT43" s="45">
        <f>IF($D$75&lt;$D$73,1,IF($D$26="Sí",IF($C$43&gt;=0.75*$D$78,99,MAX(1,$D$79/(1-MAX(0,$C$43)/(0.75*$D$78)))),$D$80))</f>
        <v/>
      </c>
      <c r="BU43" s="45">
        <f>IF(IFERROR(MATCH($C$43,$AM$9:$AM$48,1),0)&lt;=0,INDEX($AN$9:$AN$48,1),IF(IFERROR(MATCH($C$43,$AM$9:$AM$48,1),0)&gt;=40,INDEX($AN$9:$AN$48,40),INDEX($AN$9:$AN$48,IFERROR(MATCH($C$43,$AM$9:$AM$48,1),0))+(INDEX($AN$9:$AN$48,IFERROR(MATCH($C$43,$AM$9:$AM$48,1),0)+1)-INDEX($AN$9:$AN$48,IFERROR(MATCH($C$43,$AM$9:$AM$48,1),0)))*($C$43-INDEX($AM$9:$AM$48,IFERROR(MATCH($C$43,$AM$9:$AM$48,1),0)))/MAX(1E-9,INDEX($AM$9:$AM$48,IFERROR(MATCH($C$43,$AM$9:$AM$48,1),0)+1)-INDEX($AM$9:$AM$48,IFERROR(MATCH($C$43,$AM$9:$AM$48,1),0)))))</f>
        <v/>
      </c>
      <c r="BV43" s="45">
        <f>IF(IFERROR(MATCH($C$43,$AW$9:$AW$48,1),0)&lt;=0,INDEX($AX$9:$AX$48,1),IF(IFERROR(MATCH($C$43,$AW$9:$AW$48,1),0)&gt;=40,INDEX($AX$9:$AX$48,40),INDEX($AX$9:$AX$48,IFERROR(MATCH($C$43,$AW$9:$AW$48,1),0))+(INDEX($AX$9:$AX$48,IFERROR(MATCH($C$43,$AW$9:$AW$48,1),0)+1)-INDEX($AX$9:$AX$48,IFERROR(MATCH($C$43,$AW$9:$AW$48,1),0)))*($C$43-INDEX($AW$9:$AW$48,IFERROR(MATCH($C$43,$AW$9:$AW$48,1),0)))/MAX(1E-9,INDEX($AW$9:$AW$48,IFERROR(MATCH($C$43,$AW$9:$AW$48,1),0)+1)-INDEX($AW$9:$AW$48,IFERROR(MATCH($C$43,$AW$9:$AW$48,1),0)))))</f>
        <v/>
      </c>
    </row>
    <row r="44">
      <c r="B44" s="47" t="inlineStr">
        <is>
          <t>1.25(CM+CV) − SY</t>
        </is>
      </c>
      <c r="C44" s="25" t="n">
        <v>116</v>
      </c>
      <c r="D44" s="25" t="n">
        <v>-11</v>
      </c>
      <c r="E44" s="25" t="n">
        <v>1</v>
      </c>
      <c r="F44" s="34">
        <f>BI44</f>
        <v/>
      </c>
      <c r="G44" s="34">
        <f>BJ44</f>
        <v/>
      </c>
      <c r="H44" s="34">
        <f>BR44</f>
        <v/>
      </c>
      <c r="AK44" s="46">
        <f>1.5*$D$15</f>
        <v/>
      </c>
      <c r="AL44" s="46">
        <f>MIN($D$66*AK44,$D$15)</f>
        <v/>
      </c>
      <c r="AM44" s="46">
        <f>(0.85*$D$11*AL44*$D$14+SUMPRODUCT($AF$8:$AF$17,(ABS(6000*(1-$AE$8:$AE$17/AK44)+$D$12)-ABS(6000*(1-$AE$8:$AE$17/AK44)-$D$12))/2-0.85*$D$11*($AE$8:$AE$17&lt;AL44)))/1000</f>
        <v/>
      </c>
      <c r="AN44" s="46">
        <f>(0.85*$D$11*AL44*$D$14*($D$15/2-AL44/2)+SUMPRODUCT($AF$8:$AF$17,(ABS(6000*(1-$AE$8:$AE$17/AK44)+$D$12)-ABS(6000*(1-$AE$8:$AE$17/AK44)-$D$12))/2-0.85*$D$11*($AE$8:$AE$17&lt;AL44),$D$15/2-$AE$8:$AE$17))/100000</f>
        <v/>
      </c>
      <c r="AO44" s="46">
        <f>IF(AM44&lt;=0,0.9,MAX(0.7,0.9/(1+0.2*AM44/$D$71)))</f>
        <v/>
      </c>
      <c r="AP44" s="46">
        <f>MIN(AO44*AM44,$D$68)</f>
        <v/>
      </c>
      <c r="AQ44" s="46">
        <f>MAX(0,AO44*AN44)</f>
        <v/>
      </c>
      <c r="AR44" s="46">
        <f>IF(AS44&gt;0,-AQ44/AS44,-1E+9)</f>
        <v/>
      </c>
      <c r="AS44" s="46">
        <f>AO44*AM44</f>
        <v/>
      </c>
      <c r="AU44" s="46">
        <f>1.5*$D$14</f>
        <v/>
      </c>
      <c r="AV44" s="46">
        <f>MIN($D$66*AU44,$D$14)</f>
        <v/>
      </c>
      <c r="AW44" s="46">
        <f>(0.85*$D$11*AV44*$D$15+SUMPRODUCT($AH$8:$AH$17,(ABS(6000*(1-$AG$8:$AG$17/AU44)+$D$12)-ABS(6000*(1-$AG$8:$AG$17/AU44)-$D$12))/2-0.85*$D$11*($AG$8:$AG$17&lt;AV44)))/1000</f>
        <v/>
      </c>
      <c r="AX44" s="46">
        <f>(0.85*$D$11*AV44*$D$15*($D$14/2-AV44/2)+SUMPRODUCT($AH$8:$AH$17,(ABS(6000*(1-$AG$8:$AG$17/AU44)+$D$12)-ABS(6000*(1-$AG$8:$AG$17/AU44)-$D$12))/2-0.85*$D$11*($AG$8:$AG$17&lt;AV44),$D$14/2-$AG$8:$AG$17))/100000</f>
        <v/>
      </c>
      <c r="AY44" s="46">
        <f>IF(AW44&lt;=0,0.9,MAX(0.7,0.9/(1+0.2*AW44/$D$72)))</f>
        <v/>
      </c>
      <c r="AZ44" s="46">
        <f>MIN(AY44*AW44,$D$68)</f>
        <v/>
      </c>
      <c r="BA44" s="46">
        <f>MAX(0,AY44*AX44)</f>
        <v/>
      </c>
      <c r="BB44" s="46">
        <f>IF(BC44&gt;0,-BA44/BC44,-1E+9)</f>
        <v/>
      </c>
      <c r="BC44" s="46">
        <f>AY44*AW44</f>
        <v/>
      </c>
      <c r="BE44" s="45">
        <f>BS44*IF(AND($D$74&gt;=$D$73,$D$26="Sí"),MAX(ABS($D$44),MAX(0,$C$44)*(1.5+0.03*$D$15)/100),ABS($D$44))</f>
        <v/>
      </c>
      <c r="BF44" s="45">
        <f>BT44*IF(AND($D$75&gt;=$D$73,$D$26="Sí"),MAX(ABS($E$44),MAX(0,$C$44)*(1.5+0.03*$D$14)/100),ABS($E$44))</f>
        <v/>
      </c>
      <c r="BG44" s="45">
        <f>IFERROR(MATCH($C$44,$AP$9:$AP$48,1),0)</f>
        <v/>
      </c>
      <c r="BH44" s="45">
        <f>IFERROR(MATCH($C$44,$AZ$9:$AZ$48,1),0)</f>
        <v/>
      </c>
      <c r="BI44" s="45">
        <f>IF(BG44&lt;=0,INDEX($AQ$9:$AQ$48,1),IF(BG44&gt;=40,INDEX($AQ$9:$AQ$48,40),INDEX($AQ$9:$AQ$48,BG44)+(INDEX($AQ$9:$AQ$48,BG44+1)-INDEX($AQ$9:$AQ$48,BG44))*($C$44-INDEX($AP$9:$AP$48,BG44))/MAX(1E-9,INDEX($AP$9:$AP$48,BG44+1)-INDEX($AP$9:$AP$48,BG44))))</f>
        <v/>
      </c>
      <c r="BJ44" s="45">
        <f>IF(BH44&lt;=0,INDEX($BA$9:$BA$48,1),IF(BH44&gt;=40,INDEX($BA$9:$BA$48,40),INDEX($BA$9:$BA$48,BH44)+(INDEX($BA$9:$BA$48,BH44+1)-INDEX($BA$9:$BA$48,BH44))*($C$44-INDEX($AZ$9:$AZ$48,BH44))/MAX(1E-9,INDEX($AZ$9:$AZ$48,BH44+1)-INDEX($AZ$9:$AZ$48,BH44))))</f>
        <v/>
      </c>
      <c r="BK44" s="45">
        <f>IF($C$44&gt;0,BE44/$C$44,0)</f>
        <v/>
      </c>
      <c r="BL44" s="45">
        <f>IF($C$44&gt;0,BF44/$C$44,0)</f>
        <v/>
      </c>
      <c r="BM44" s="45">
        <f>IFERROR(MATCH(-BK44,$AR$9:$AR$48,1),0)</f>
        <v/>
      </c>
      <c r="BN44" s="45">
        <f>IFERROR(MATCH(-BL44,$BB$9:$BB$48,1),0)</f>
        <v/>
      </c>
      <c r="BO44" s="45">
        <f>IF(BM44&lt;=0,INDEX($AS$9:$AS$48,1),IF(BM44&gt;=40,INDEX($AS$9:$AS$48,40),INDEX($AS$9:$AS$48,BM44)+(INDEX($AS$9:$AS$48,BM44+1)-INDEX($AS$9:$AS$48,BM44))*(-BK44-INDEX($AR$9:$AR$48,BM44))/MAX(1E-9,INDEX($AR$9:$AR$48,BM44+1)-INDEX($AR$9:$AR$48,BM44))))</f>
        <v/>
      </c>
      <c r="BP44" s="45">
        <f>IF(BN44&lt;=0,INDEX($BC$9:$BC$48,1),IF(BN44&gt;=40,INDEX($BC$9:$BC$48,40),INDEX($BC$9:$BC$48,BN44)+(INDEX($BC$9:$BC$48,BN44+1)-INDEX($BC$9:$BC$48,BN44))*(-BL44-INDEX($BB$9:$BB$48,BN44))/MAX(1E-9,INDEX($BB$9:$BB$48,BN44+1)-INDEX($BB$9:$BB$48,BN44))))</f>
        <v/>
      </c>
      <c r="BQ44" s="45">
        <f>IFERROR(1/(1/BO44+1/BP44-1/(0.7*$D$67)),0.0001)</f>
        <v/>
      </c>
      <c r="BR44" s="45">
        <f>IF(AND($C$44=0,$D$44=0,$E$44=0),0,IF($C$44&gt;$D$68,99,IF($C$44&gt;=0.1*$D$11*$D$58/1000,$C$44/MAX(0.0001,MIN(BQ44,$D$68)),BE44/MAX(0.0001,BI44)+BF44/MAX(0.0001,BJ44))))</f>
        <v/>
      </c>
      <c r="BS44" s="45">
        <f>IF($D$74&lt;$D$73,1,IF($D$26="Sí",IF($C$44&gt;=0.75*$D$77,99,MAX(1,$D$79/(1-MAX(0,$C$44)/(0.75*$D$77)))),$D$80))</f>
        <v/>
      </c>
      <c r="BT44" s="45">
        <f>IF($D$75&lt;$D$73,1,IF($D$26="Sí",IF($C$44&gt;=0.75*$D$78,99,MAX(1,$D$79/(1-MAX(0,$C$44)/(0.75*$D$78)))),$D$80))</f>
        <v/>
      </c>
      <c r="BU44" s="45">
        <f>IF(IFERROR(MATCH($C$44,$AM$9:$AM$48,1),0)&lt;=0,INDEX($AN$9:$AN$48,1),IF(IFERROR(MATCH($C$44,$AM$9:$AM$48,1),0)&gt;=40,INDEX($AN$9:$AN$48,40),INDEX($AN$9:$AN$48,IFERROR(MATCH($C$44,$AM$9:$AM$48,1),0))+(INDEX($AN$9:$AN$48,IFERROR(MATCH($C$44,$AM$9:$AM$48,1),0)+1)-INDEX($AN$9:$AN$48,IFERROR(MATCH($C$44,$AM$9:$AM$48,1),0)))*($C$44-INDEX($AM$9:$AM$48,IFERROR(MATCH($C$44,$AM$9:$AM$48,1),0)))/MAX(1E-9,INDEX($AM$9:$AM$48,IFERROR(MATCH($C$44,$AM$9:$AM$48,1),0)+1)-INDEX($AM$9:$AM$48,IFERROR(MATCH($C$44,$AM$9:$AM$48,1),0)))))</f>
        <v/>
      </c>
      <c r="BV44" s="45">
        <f>IF(IFERROR(MATCH($C$44,$AW$9:$AW$48,1),0)&lt;=0,INDEX($AX$9:$AX$48,1),IF(IFERROR(MATCH($C$44,$AW$9:$AW$48,1),0)&gt;=40,INDEX($AX$9:$AX$48,40),INDEX($AX$9:$AX$48,IFERROR(MATCH($C$44,$AW$9:$AW$48,1),0))+(INDEX($AX$9:$AX$48,IFERROR(MATCH($C$44,$AW$9:$AW$48,1),0)+1)-INDEX($AX$9:$AX$48,IFERROR(MATCH($C$44,$AW$9:$AW$48,1),0)))*($C$44-INDEX($AW$9:$AW$48,IFERROR(MATCH($C$44,$AW$9:$AW$48,1),0)))/MAX(1E-9,INDEX($AW$9:$AW$48,IFERROR(MATCH($C$44,$AW$9:$AW$48,1),0)+1)-INDEX($AW$9:$AW$48,IFERROR(MATCH($C$44,$AW$9:$AW$48,1),0)))))</f>
        <v/>
      </c>
    </row>
    <row r="45">
      <c r="B45" s="47" t="inlineStr">
        <is>
          <t>0.9CM + SX</t>
        </is>
      </c>
      <c r="C45" s="25" t="n">
        <v>64</v>
      </c>
      <c r="D45" s="25" t="n">
        <v>2</v>
      </c>
      <c r="E45" s="25" t="n">
        <v>9</v>
      </c>
      <c r="F45" s="34">
        <f>BI45</f>
        <v/>
      </c>
      <c r="G45" s="34">
        <f>BJ45</f>
        <v/>
      </c>
      <c r="H45" s="34">
        <f>BR45</f>
        <v/>
      </c>
      <c r="AK45" s="46">
        <f>1.75*$D$15</f>
        <v/>
      </c>
      <c r="AL45" s="46">
        <f>MIN($D$66*AK45,$D$15)</f>
        <v/>
      </c>
      <c r="AM45" s="46">
        <f>(0.85*$D$11*AL45*$D$14+SUMPRODUCT($AF$8:$AF$17,(ABS(6000*(1-$AE$8:$AE$17/AK45)+$D$12)-ABS(6000*(1-$AE$8:$AE$17/AK45)-$D$12))/2-0.85*$D$11*($AE$8:$AE$17&lt;AL45)))/1000</f>
        <v/>
      </c>
      <c r="AN45" s="46">
        <f>(0.85*$D$11*AL45*$D$14*($D$15/2-AL45/2)+SUMPRODUCT($AF$8:$AF$17,(ABS(6000*(1-$AE$8:$AE$17/AK45)+$D$12)-ABS(6000*(1-$AE$8:$AE$17/AK45)-$D$12))/2-0.85*$D$11*($AE$8:$AE$17&lt;AL45),$D$15/2-$AE$8:$AE$17))/100000</f>
        <v/>
      </c>
      <c r="AO45" s="46">
        <f>IF(AM45&lt;=0,0.9,MAX(0.7,0.9/(1+0.2*AM45/$D$71)))</f>
        <v/>
      </c>
      <c r="AP45" s="46">
        <f>MIN(AO45*AM45,$D$68)</f>
        <v/>
      </c>
      <c r="AQ45" s="46">
        <f>MAX(0,AO45*AN45)</f>
        <v/>
      </c>
      <c r="AR45" s="46">
        <f>IF(AS45&gt;0,-AQ45/AS45,-1E+9)</f>
        <v/>
      </c>
      <c r="AS45" s="46">
        <f>AO45*AM45</f>
        <v/>
      </c>
      <c r="AU45" s="46">
        <f>1.75*$D$14</f>
        <v/>
      </c>
      <c r="AV45" s="46">
        <f>MIN($D$66*AU45,$D$14)</f>
        <v/>
      </c>
      <c r="AW45" s="46">
        <f>(0.85*$D$11*AV45*$D$15+SUMPRODUCT($AH$8:$AH$17,(ABS(6000*(1-$AG$8:$AG$17/AU45)+$D$12)-ABS(6000*(1-$AG$8:$AG$17/AU45)-$D$12))/2-0.85*$D$11*($AG$8:$AG$17&lt;AV45)))/1000</f>
        <v/>
      </c>
      <c r="AX45" s="46">
        <f>(0.85*$D$11*AV45*$D$15*($D$14/2-AV45/2)+SUMPRODUCT($AH$8:$AH$17,(ABS(6000*(1-$AG$8:$AG$17/AU45)+$D$12)-ABS(6000*(1-$AG$8:$AG$17/AU45)-$D$12))/2-0.85*$D$11*($AG$8:$AG$17&lt;AV45),$D$14/2-$AG$8:$AG$17))/100000</f>
        <v/>
      </c>
      <c r="AY45" s="46">
        <f>IF(AW45&lt;=0,0.9,MAX(0.7,0.9/(1+0.2*AW45/$D$72)))</f>
        <v/>
      </c>
      <c r="AZ45" s="46">
        <f>MIN(AY45*AW45,$D$68)</f>
        <v/>
      </c>
      <c r="BA45" s="46">
        <f>MAX(0,AY45*AX45)</f>
        <v/>
      </c>
      <c r="BB45" s="46">
        <f>IF(BC45&gt;0,-BA45/BC45,-1E+9)</f>
        <v/>
      </c>
      <c r="BC45" s="46">
        <f>AY45*AW45</f>
        <v/>
      </c>
      <c r="BE45" s="45">
        <f>BS45*IF(AND($D$74&gt;=$D$73,$D$26="Sí"),MAX(ABS($D$45),MAX(0,$C$45)*(1.5+0.03*$D$15)/100),ABS($D$45))</f>
        <v/>
      </c>
      <c r="BF45" s="45">
        <f>BT45*IF(AND($D$75&gt;=$D$73,$D$26="Sí"),MAX(ABS($E$45),MAX(0,$C$45)*(1.5+0.03*$D$14)/100),ABS($E$45))</f>
        <v/>
      </c>
      <c r="BG45" s="45">
        <f>IFERROR(MATCH($C$45,$AP$9:$AP$48,1),0)</f>
        <v/>
      </c>
      <c r="BH45" s="45">
        <f>IFERROR(MATCH($C$45,$AZ$9:$AZ$48,1),0)</f>
        <v/>
      </c>
      <c r="BI45" s="45">
        <f>IF(BG45&lt;=0,INDEX($AQ$9:$AQ$48,1),IF(BG45&gt;=40,INDEX($AQ$9:$AQ$48,40),INDEX($AQ$9:$AQ$48,BG45)+(INDEX($AQ$9:$AQ$48,BG45+1)-INDEX($AQ$9:$AQ$48,BG45))*($C$45-INDEX($AP$9:$AP$48,BG45))/MAX(1E-9,INDEX($AP$9:$AP$48,BG45+1)-INDEX($AP$9:$AP$48,BG45))))</f>
        <v/>
      </c>
      <c r="BJ45" s="45">
        <f>IF(BH45&lt;=0,INDEX($BA$9:$BA$48,1),IF(BH45&gt;=40,INDEX($BA$9:$BA$48,40),INDEX($BA$9:$BA$48,BH45)+(INDEX($BA$9:$BA$48,BH45+1)-INDEX($BA$9:$BA$48,BH45))*($C$45-INDEX($AZ$9:$AZ$48,BH45))/MAX(1E-9,INDEX($AZ$9:$AZ$48,BH45+1)-INDEX($AZ$9:$AZ$48,BH45))))</f>
        <v/>
      </c>
      <c r="BK45" s="45">
        <f>IF($C$45&gt;0,BE45/$C$45,0)</f>
        <v/>
      </c>
      <c r="BL45" s="45">
        <f>IF($C$45&gt;0,BF45/$C$45,0)</f>
        <v/>
      </c>
      <c r="BM45" s="45">
        <f>IFERROR(MATCH(-BK45,$AR$9:$AR$48,1),0)</f>
        <v/>
      </c>
      <c r="BN45" s="45">
        <f>IFERROR(MATCH(-BL45,$BB$9:$BB$48,1),0)</f>
        <v/>
      </c>
      <c r="BO45" s="45">
        <f>IF(BM45&lt;=0,INDEX($AS$9:$AS$48,1),IF(BM45&gt;=40,INDEX($AS$9:$AS$48,40),INDEX($AS$9:$AS$48,BM45)+(INDEX($AS$9:$AS$48,BM45+1)-INDEX($AS$9:$AS$48,BM45))*(-BK45-INDEX($AR$9:$AR$48,BM45))/MAX(1E-9,INDEX($AR$9:$AR$48,BM45+1)-INDEX($AR$9:$AR$48,BM45))))</f>
        <v/>
      </c>
      <c r="BP45" s="45">
        <f>IF(BN45&lt;=0,INDEX($BC$9:$BC$48,1),IF(BN45&gt;=40,INDEX($BC$9:$BC$48,40),INDEX($BC$9:$BC$48,BN45)+(INDEX($BC$9:$BC$48,BN45+1)-INDEX($BC$9:$BC$48,BN45))*(-BL45-INDEX($BB$9:$BB$48,BN45))/MAX(1E-9,INDEX($BB$9:$BB$48,BN45+1)-INDEX($BB$9:$BB$48,BN45))))</f>
        <v/>
      </c>
      <c r="BQ45" s="45">
        <f>IFERROR(1/(1/BO45+1/BP45-1/(0.7*$D$67)),0.0001)</f>
        <v/>
      </c>
      <c r="BR45" s="45">
        <f>IF(AND($C$45=0,$D$45=0,$E$45=0),0,IF($C$45&gt;$D$68,99,IF($C$45&gt;=0.1*$D$11*$D$58/1000,$C$45/MAX(0.0001,MIN(BQ45,$D$68)),BE45/MAX(0.0001,BI45)+BF45/MAX(0.0001,BJ45))))</f>
        <v/>
      </c>
      <c r="BS45" s="45">
        <f>IF($D$74&lt;$D$73,1,IF($D$26="Sí",IF($C$45&gt;=0.75*$D$77,99,MAX(1,$D$79/(1-MAX(0,$C$45)/(0.75*$D$77)))),$D$80))</f>
        <v/>
      </c>
      <c r="BT45" s="45">
        <f>IF($D$75&lt;$D$73,1,IF($D$26="Sí",IF($C$45&gt;=0.75*$D$78,99,MAX(1,$D$79/(1-MAX(0,$C$45)/(0.75*$D$78)))),$D$80))</f>
        <v/>
      </c>
      <c r="BU45" s="45">
        <f>IF(IFERROR(MATCH($C$45,$AM$9:$AM$48,1),0)&lt;=0,INDEX($AN$9:$AN$48,1),IF(IFERROR(MATCH($C$45,$AM$9:$AM$48,1),0)&gt;=40,INDEX($AN$9:$AN$48,40),INDEX($AN$9:$AN$48,IFERROR(MATCH($C$45,$AM$9:$AM$48,1),0))+(INDEX($AN$9:$AN$48,IFERROR(MATCH($C$45,$AM$9:$AM$48,1),0)+1)-INDEX($AN$9:$AN$48,IFERROR(MATCH($C$45,$AM$9:$AM$48,1),0)))*($C$45-INDEX($AM$9:$AM$48,IFERROR(MATCH($C$45,$AM$9:$AM$48,1),0)))/MAX(1E-9,INDEX($AM$9:$AM$48,IFERROR(MATCH($C$45,$AM$9:$AM$48,1),0)+1)-INDEX($AM$9:$AM$48,IFERROR(MATCH($C$45,$AM$9:$AM$48,1),0)))))</f>
        <v/>
      </c>
      <c r="BV45" s="45">
        <f>IF(IFERROR(MATCH($C$45,$AW$9:$AW$48,1),0)&lt;=0,INDEX($AX$9:$AX$48,1),IF(IFERROR(MATCH($C$45,$AW$9:$AW$48,1),0)&gt;=40,INDEX($AX$9:$AX$48,40),INDEX($AX$9:$AX$48,IFERROR(MATCH($C$45,$AW$9:$AW$48,1),0))+(INDEX($AX$9:$AX$48,IFERROR(MATCH($C$45,$AW$9:$AW$48,1),0)+1)-INDEX($AX$9:$AX$48,IFERROR(MATCH($C$45,$AW$9:$AW$48,1),0)))*($C$45-INDEX($AW$9:$AW$48,IFERROR(MATCH($C$45,$AW$9:$AW$48,1),0)))/MAX(1E-9,INDEX($AW$9:$AW$48,IFERROR(MATCH($C$45,$AW$9:$AW$48,1),0)+1)-INDEX($AW$9:$AW$48,IFERROR(MATCH($C$45,$AW$9:$AW$48,1),0)))))</f>
        <v/>
      </c>
    </row>
    <row r="46">
      <c r="B46" s="47" t="inlineStr">
        <is>
          <t>0.9CM − SX</t>
        </is>
      </c>
      <c r="C46" s="25" t="n">
        <v>58</v>
      </c>
      <c r="D46" s="25" t="n">
        <v>1.5</v>
      </c>
      <c r="E46" s="25" t="n">
        <v>-8.5</v>
      </c>
      <c r="F46" s="34">
        <f>BI46</f>
        <v/>
      </c>
      <c r="G46" s="34">
        <f>BJ46</f>
        <v/>
      </c>
      <c r="H46" s="34">
        <f>BR46</f>
        <v/>
      </c>
      <c r="AK46" s="46">
        <f>2.0*$D$15</f>
        <v/>
      </c>
      <c r="AL46" s="46">
        <f>MIN($D$66*AK46,$D$15)</f>
        <v/>
      </c>
      <c r="AM46" s="46">
        <f>(0.85*$D$11*AL46*$D$14+SUMPRODUCT($AF$8:$AF$17,(ABS(6000*(1-$AE$8:$AE$17/AK46)+$D$12)-ABS(6000*(1-$AE$8:$AE$17/AK46)-$D$12))/2-0.85*$D$11*($AE$8:$AE$17&lt;AL46)))/1000</f>
        <v/>
      </c>
      <c r="AN46" s="46">
        <f>(0.85*$D$11*AL46*$D$14*($D$15/2-AL46/2)+SUMPRODUCT($AF$8:$AF$17,(ABS(6000*(1-$AE$8:$AE$17/AK46)+$D$12)-ABS(6000*(1-$AE$8:$AE$17/AK46)-$D$12))/2-0.85*$D$11*($AE$8:$AE$17&lt;AL46),$D$15/2-$AE$8:$AE$17))/100000</f>
        <v/>
      </c>
      <c r="AO46" s="46">
        <f>IF(AM46&lt;=0,0.9,MAX(0.7,0.9/(1+0.2*AM46/$D$71)))</f>
        <v/>
      </c>
      <c r="AP46" s="46">
        <f>MIN(AO46*AM46,$D$68)</f>
        <v/>
      </c>
      <c r="AQ46" s="46">
        <f>MAX(0,AO46*AN46)</f>
        <v/>
      </c>
      <c r="AR46" s="46">
        <f>IF(AS46&gt;0,-AQ46/AS46,-1E+9)</f>
        <v/>
      </c>
      <c r="AS46" s="46">
        <f>AO46*AM46</f>
        <v/>
      </c>
      <c r="AU46" s="46">
        <f>2.0*$D$14</f>
        <v/>
      </c>
      <c r="AV46" s="46">
        <f>MIN($D$66*AU46,$D$14)</f>
        <v/>
      </c>
      <c r="AW46" s="46">
        <f>(0.85*$D$11*AV46*$D$15+SUMPRODUCT($AH$8:$AH$17,(ABS(6000*(1-$AG$8:$AG$17/AU46)+$D$12)-ABS(6000*(1-$AG$8:$AG$17/AU46)-$D$12))/2-0.85*$D$11*($AG$8:$AG$17&lt;AV46)))/1000</f>
        <v/>
      </c>
      <c r="AX46" s="46">
        <f>(0.85*$D$11*AV46*$D$15*($D$14/2-AV46/2)+SUMPRODUCT($AH$8:$AH$17,(ABS(6000*(1-$AG$8:$AG$17/AU46)+$D$12)-ABS(6000*(1-$AG$8:$AG$17/AU46)-$D$12))/2-0.85*$D$11*($AG$8:$AG$17&lt;AV46),$D$14/2-$AG$8:$AG$17))/100000</f>
        <v/>
      </c>
      <c r="AY46" s="46">
        <f>IF(AW46&lt;=0,0.9,MAX(0.7,0.9/(1+0.2*AW46/$D$72)))</f>
        <v/>
      </c>
      <c r="AZ46" s="46">
        <f>MIN(AY46*AW46,$D$68)</f>
        <v/>
      </c>
      <c r="BA46" s="46">
        <f>MAX(0,AY46*AX46)</f>
        <v/>
      </c>
      <c r="BB46" s="46">
        <f>IF(BC46&gt;0,-BA46/BC46,-1E+9)</f>
        <v/>
      </c>
      <c r="BC46" s="46">
        <f>AY46*AW46</f>
        <v/>
      </c>
      <c r="BE46" s="45">
        <f>BS46*IF(AND($D$74&gt;=$D$73,$D$26="Sí"),MAX(ABS($D$46),MAX(0,$C$46)*(1.5+0.03*$D$15)/100),ABS($D$46))</f>
        <v/>
      </c>
      <c r="BF46" s="45">
        <f>BT46*IF(AND($D$75&gt;=$D$73,$D$26="Sí"),MAX(ABS($E$46),MAX(0,$C$46)*(1.5+0.03*$D$14)/100),ABS($E$46))</f>
        <v/>
      </c>
      <c r="BG46" s="45">
        <f>IFERROR(MATCH($C$46,$AP$9:$AP$48,1),0)</f>
        <v/>
      </c>
      <c r="BH46" s="45">
        <f>IFERROR(MATCH($C$46,$AZ$9:$AZ$48,1),0)</f>
        <v/>
      </c>
      <c r="BI46" s="45">
        <f>IF(BG46&lt;=0,INDEX($AQ$9:$AQ$48,1),IF(BG46&gt;=40,INDEX($AQ$9:$AQ$48,40),INDEX($AQ$9:$AQ$48,BG46)+(INDEX($AQ$9:$AQ$48,BG46+1)-INDEX($AQ$9:$AQ$48,BG46))*($C$46-INDEX($AP$9:$AP$48,BG46))/MAX(1E-9,INDEX($AP$9:$AP$48,BG46+1)-INDEX($AP$9:$AP$48,BG46))))</f>
        <v/>
      </c>
      <c r="BJ46" s="45">
        <f>IF(BH46&lt;=0,INDEX($BA$9:$BA$48,1),IF(BH46&gt;=40,INDEX($BA$9:$BA$48,40),INDEX($BA$9:$BA$48,BH46)+(INDEX($BA$9:$BA$48,BH46+1)-INDEX($BA$9:$BA$48,BH46))*($C$46-INDEX($AZ$9:$AZ$48,BH46))/MAX(1E-9,INDEX($AZ$9:$AZ$48,BH46+1)-INDEX($AZ$9:$AZ$48,BH46))))</f>
        <v/>
      </c>
      <c r="BK46" s="45">
        <f>IF($C$46&gt;0,BE46/$C$46,0)</f>
        <v/>
      </c>
      <c r="BL46" s="45">
        <f>IF($C$46&gt;0,BF46/$C$46,0)</f>
        <v/>
      </c>
      <c r="BM46" s="45">
        <f>IFERROR(MATCH(-BK46,$AR$9:$AR$48,1),0)</f>
        <v/>
      </c>
      <c r="BN46" s="45">
        <f>IFERROR(MATCH(-BL46,$BB$9:$BB$48,1),0)</f>
        <v/>
      </c>
      <c r="BO46" s="45">
        <f>IF(BM46&lt;=0,INDEX($AS$9:$AS$48,1),IF(BM46&gt;=40,INDEX($AS$9:$AS$48,40),INDEX($AS$9:$AS$48,BM46)+(INDEX($AS$9:$AS$48,BM46+1)-INDEX($AS$9:$AS$48,BM46))*(-BK46-INDEX($AR$9:$AR$48,BM46))/MAX(1E-9,INDEX($AR$9:$AR$48,BM46+1)-INDEX($AR$9:$AR$48,BM46))))</f>
        <v/>
      </c>
      <c r="BP46" s="45">
        <f>IF(BN46&lt;=0,INDEX($BC$9:$BC$48,1),IF(BN46&gt;=40,INDEX($BC$9:$BC$48,40),INDEX($BC$9:$BC$48,BN46)+(INDEX($BC$9:$BC$48,BN46+1)-INDEX($BC$9:$BC$48,BN46))*(-BL46-INDEX($BB$9:$BB$48,BN46))/MAX(1E-9,INDEX($BB$9:$BB$48,BN46+1)-INDEX($BB$9:$BB$48,BN46))))</f>
        <v/>
      </c>
      <c r="BQ46" s="45">
        <f>IFERROR(1/(1/BO46+1/BP46-1/(0.7*$D$67)),0.0001)</f>
        <v/>
      </c>
      <c r="BR46" s="45">
        <f>IF(AND($C$46=0,$D$46=0,$E$46=0),0,IF($C$46&gt;$D$68,99,IF($C$46&gt;=0.1*$D$11*$D$58/1000,$C$46/MAX(0.0001,MIN(BQ46,$D$68)),BE46/MAX(0.0001,BI46)+BF46/MAX(0.0001,BJ46))))</f>
        <v/>
      </c>
      <c r="BS46" s="45">
        <f>IF($D$74&lt;$D$73,1,IF($D$26="Sí",IF($C$46&gt;=0.75*$D$77,99,MAX(1,$D$79/(1-MAX(0,$C$46)/(0.75*$D$77)))),$D$80))</f>
        <v/>
      </c>
      <c r="BT46" s="45">
        <f>IF($D$75&lt;$D$73,1,IF($D$26="Sí",IF($C$46&gt;=0.75*$D$78,99,MAX(1,$D$79/(1-MAX(0,$C$46)/(0.75*$D$78)))),$D$80))</f>
        <v/>
      </c>
      <c r="BU46" s="45">
        <f>IF(IFERROR(MATCH($C$46,$AM$9:$AM$48,1),0)&lt;=0,INDEX($AN$9:$AN$48,1),IF(IFERROR(MATCH($C$46,$AM$9:$AM$48,1),0)&gt;=40,INDEX($AN$9:$AN$48,40),INDEX($AN$9:$AN$48,IFERROR(MATCH($C$46,$AM$9:$AM$48,1),0))+(INDEX($AN$9:$AN$48,IFERROR(MATCH($C$46,$AM$9:$AM$48,1),0)+1)-INDEX($AN$9:$AN$48,IFERROR(MATCH($C$46,$AM$9:$AM$48,1),0)))*($C$46-INDEX($AM$9:$AM$48,IFERROR(MATCH($C$46,$AM$9:$AM$48,1),0)))/MAX(1E-9,INDEX($AM$9:$AM$48,IFERROR(MATCH($C$46,$AM$9:$AM$48,1),0)+1)-INDEX($AM$9:$AM$48,IFERROR(MATCH($C$46,$AM$9:$AM$48,1),0)))))</f>
        <v/>
      </c>
      <c r="BV46" s="45">
        <f>IF(IFERROR(MATCH($C$46,$AW$9:$AW$48,1),0)&lt;=0,INDEX($AX$9:$AX$48,1),IF(IFERROR(MATCH($C$46,$AW$9:$AW$48,1),0)&gt;=40,INDEX($AX$9:$AX$48,40),INDEX($AX$9:$AX$48,IFERROR(MATCH($C$46,$AW$9:$AW$48,1),0))+(INDEX($AX$9:$AX$48,IFERROR(MATCH($C$46,$AW$9:$AW$48,1),0)+1)-INDEX($AX$9:$AX$48,IFERROR(MATCH($C$46,$AW$9:$AW$48,1),0)))*($C$46-INDEX($AW$9:$AW$48,IFERROR(MATCH($C$46,$AW$9:$AW$48,1),0)))/MAX(1E-9,INDEX($AW$9:$AW$48,IFERROR(MATCH($C$46,$AW$9:$AW$48,1),0)+1)-INDEX($AW$9:$AW$48,IFERROR(MATCH($C$46,$AW$9:$AW$48,1),0)))))</f>
        <v/>
      </c>
    </row>
    <row r="47">
      <c r="B47" s="47" t="inlineStr">
        <is>
          <t>0.9CM + SY</t>
        </is>
      </c>
      <c r="C47" s="25" t="n">
        <v>70</v>
      </c>
      <c r="D47" s="25" t="n">
        <v>12.5</v>
      </c>
      <c r="E47" s="25" t="n">
        <v>1.5</v>
      </c>
      <c r="F47" s="34">
        <f>BI47</f>
        <v/>
      </c>
      <c r="G47" s="34">
        <f>BJ47</f>
        <v/>
      </c>
      <c r="H47" s="34">
        <f>BR47</f>
        <v/>
      </c>
      <c r="AK47" s="46">
        <f>3.0*$D$15</f>
        <v/>
      </c>
      <c r="AL47" s="46">
        <f>MIN($D$66*AK47,$D$15)</f>
        <v/>
      </c>
      <c r="AM47" s="46">
        <f>(0.85*$D$11*AL47*$D$14+SUMPRODUCT($AF$8:$AF$17,(ABS(6000*(1-$AE$8:$AE$17/AK47)+$D$12)-ABS(6000*(1-$AE$8:$AE$17/AK47)-$D$12))/2-0.85*$D$11*($AE$8:$AE$17&lt;AL47)))/1000</f>
        <v/>
      </c>
      <c r="AN47" s="46">
        <f>(0.85*$D$11*AL47*$D$14*($D$15/2-AL47/2)+SUMPRODUCT($AF$8:$AF$17,(ABS(6000*(1-$AE$8:$AE$17/AK47)+$D$12)-ABS(6000*(1-$AE$8:$AE$17/AK47)-$D$12))/2-0.85*$D$11*($AE$8:$AE$17&lt;AL47),$D$15/2-$AE$8:$AE$17))/100000</f>
        <v/>
      </c>
      <c r="AO47" s="46">
        <f>IF(AM47&lt;=0,0.9,MAX(0.7,0.9/(1+0.2*AM47/$D$71)))</f>
        <v/>
      </c>
      <c r="AP47" s="46">
        <f>MIN(AO47*AM47,$D$68)</f>
        <v/>
      </c>
      <c r="AQ47" s="46">
        <f>MAX(0,AO47*AN47)</f>
        <v/>
      </c>
      <c r="AR47" s="46">
        <f>IF(AS47&gt;0,-AQ47/AS47,-1E+9)</f>
        <v/>
      </c>
      <c r="AS47" s="46">
        <f>AO47*AM47</f>
        <v/>
      </c>
      <c r="AU47" s="46">
        <f>3.0*$D$14</f>
        <v/>
      </c>
      <c r="AV47" s="46">
        <f>MIN($D$66*AU47,$D$14)</f>
        <v/>
      </c>
      <c r="AW47" s="46">
        <f>(0.85*$D$11*AV47*$D$15+SUMPRODUCT($AH$8:$AH$17,(ABS(6000*(1-$AG$8:$AG$17/AU47)+$D$12)-ABS(6000*(1-$AG$8:$AG$17/AU47)-$D$12))/2-0.85*$D$11*($AG$8:$AG$17&lt;AV47)))/1000</f>
        <v/>
      </c>
      <c r="AX47" s="46">
        <f>(0.85*$D$11*AV47*$D$15*($D$14/2-AV47/2)+SUMPRODUCT($AH$8:$AH$17,(ABS(6000*(1-$AG$8:$AG$17/AU47)+$D$12)-ABS(6000*(1-$AG$8:$AG$17/AU47)-$D$12))/2-0.85*$D$11*($AG$8:$AG$17&lt;AV47),$D$14/2-$AG$8:$AG$17))/100000</f>
        <v/>
      </c>
      <c r="AY47" s="46">
        <f>IF(AW47&lt;=0,0.9,MAX(0.7,0.9/(1+0.2*AW47/$D$72)))</f>
        <v/>
      </c>
      <c r="AZ47" s="46">
        <f>MIN(AY47*AW47,$D$68)</f>
        <v/>
      </c>
      <c r="BA47" s="46">
        <f>MAX(0,AY47*AX47)</f>
        <v/>
      </c>
      <c r="BB47" s="46">
        <f>IF(BC47&gt;0,-BA47/BC47,-1E+9)</f>
        <v/>
      </c>
      <c r="BC47" s="46">
        <f>AY47*AW47</f>
        <v/>
      </c>
      <c r="BE47" s="45">
        <f>BS47*IF(AND($D$74&gt;=$D$73,$D$26="Sí"),MAX(ABS($D$47),MAX(0,$C$47)*(1.5+0.03*$D$15)/100),ABS($D$47))</f>
        <v/>
      </c>
      <c r="BF47" s="45">
        <f>BT47*IF(AND($D$75&gt;=$D$73,$D$26="Sí"),MAX(ABS($E$47),MAX(0,$C$47)*(1.5+0.03*$D$14)/100),ABS($E$47))</f>
        <v/>
      </c>
      <c r="BG47" s="45">
        <f>IFERROR(MATCH($C$47,$AP$9:$AP$48,1),0)</f>
        <v/>
      </c>
      <c r="BH47" s="45">
        <f>IFERROR(MATCH($C$47,$AZ$9:$AZ$48,1),0)</f>
        <v/>
      </c>
      <c r="BI47" s="45">
        <f>IF(BG47&lt;=0,INDEX($AQ$9:$AQ$48,1),IF(BG47&gt;=40,INDEX($AQ$9:$AQ$48,40),INDEX($AQ$9:$AQ$48,BG47)+(INDEX($AQ$9:$AQ$48,BG47+1)-INDEX($AQ$9:$AQ$48,BG47))*($C$47-INDEX($AP$9:$AP$48,BG47))/MAX(1E-9,INDEX($AP$9:$AP$48,BG47+1)-INDEX($AP$9:$AP$48,BG47))))</f>
        <v/>
      </c>
      <c r="BJ47" s="45">
        <f>IF(BH47&lt;=0,INDEX($BA$9:$BA$48,1),IF(BH47&gt;=40,INDEX($BA$9:$BA$48,40),INDEX($BA$9:$BA$48,BH47)+(INDEX($BA$9:$BA$48,BH47+1)-INDEX($BA$9:$BA$48,BH47))*($C$47-INDEX($AZ$9:$AZ$48,BH47))/MAX(1E-9,INDEX($AZ$9:$AZ$48,BH47+1)-INDEX($AZ$9:$AZ$48,BH47))))</f>
        <v/>
      </c>
      <c r="BK47" s="45">
        <f>IF($C$47&gt;0,BE47/$C$47,0)</f>
        <v/>
      </c>
      <c r="BL47" s="45">
        <f>IF($C$47&gt;0,BF47/$C$47,0)</f>
        <v/>
      </c>
      <c r="BM47" s="45">
        <f>IFERROR(MATCH(-BK47,$AR$9:$AR$48,1),0)</f>
        <v/>
      </c>
      <c r="BN47" s="45">
        <f>IFERROR(MATCH(-BL47,$BB$9:$BB$48,1),0)</f>
        <v/>
      </c>
      <c r="BO47" s="45">
        <f>IF(BM47&lt;=0,INDEX($AS$9:$AS$48,1),IF(BM47&gt;=40,INDEX($AS$9:$AS$48,40),INDEX($AS$9:$AS$48,BM47)+(INDEX($AS$9:$AS$48,BM47+1)-INDEX($AS$9:$AS$48,BM47))*(-BK47-INDEX($AR$9:$AR$48,BM47))/MAX(1E-9,INDEX($AR$9:$AR$48,BM47+1)-INDEX($AR$9:$AR$48,BM47))))</f>
        <v/>
      </c>
      <c r="BP47" s="45">
        <f>IF(BN47&lt;=0,INDEX($BC$9:$BC$48,1),IF(BN47&gt;=40,INDEX($BC$9:$BC$48,40),INDEX($BC$9:$BC$48,BN47)+(INDEX($BC$9:$BC$48,BN47+1)-INDEX($BC$9:$BC$48,BN47))*(-BL47-INDEX($BB$9:$BB$48,BN47))/MAX(1E-9,INDEX($BB$9:$BB$48,BN47+1)-INDEX($BB$9:$BB$48,BN47))))</f>
        <v/>
      </c>
      <c r="BQ47" s="45">
        <f>IFERROR(1/(1/BO47+1/BP47-1/(0.7*$D$67)),0.0001)</f>
        <v/>
      </c>
      <c r="BR47" s="45">
        <f>IF(AND($C$47=0,$D$47=0,$E$47=0),0,IF($C$47&gt;$D$68,99,IF($C$47&gt;=0.1*$D$11*$D$58/1000,$C$47/MAX(0.0001,MIN(BQ47,$D$68)),BE47/MAX(0.0001,BI47)+BF47/MAX(0.0001,BJ47))))</f>
        <v/>
      </c>
      <c r="BS47" s="45">
        <f>IF($D$74&lt;$D$73,1,IF($D$26="Sí",IF($C$47&gt;=0.75*$D$77,99,MAX(1,$D$79/(1-MAX(0,$C$47)/(0.75*$D$77)))),$D$80))</f>
        <v/>
      </c>
      <c r="BT47" s="45">
        <f>IF($D$75&lt;$D$73,1,IF($D$26="Sí",IF($C$47&gt;=0.75*$D$78,99,MAX(1,$D$79/(1-MAX(0,$C$47)/(0.75*$D$78)))),$D$80))</f>
        <v/>
      </c>
      <c r="BU47" s="45">
        <f>IF(IFERROR(MATCH($C$47,$AM$9:$AM$48,1),0)&lt;=0,INDEX($AN$9:$AN$48,1),IF(IFERROR(MATCH($C$47,$AM$9:$AM$48,1),0)&gt;=40,INDEX($AN$9:$AN$48,40),INDEX($AN$9:$AN$48,IFERROR(MATCH($C$47,$AM$9:$AM$48,1),0))+(INDEX($AN$9:$AN$48,IFERROR(MATCH($C$47,$AM$9:$AM$48,1),0)+1)-INDEX($AN$9:$AN$48,IFERROR(MATCH($C$47,$AM$9:$AM$48,1),0)))*($C$47-INDEX($AM$9:$AM$48,IFERROR(MATCH($C$47,$AM$9:$AM$48,1),0)))/MAX(1E-9,INDEX($AM$9:$AM$48,IFERROR(MATCH($C$47,$AM$9:$AM$48,1),0)+1)-INDEX($AM$9:$AM$48,IFERROR(MATCH($C$47,$AM$9:$AM$48,1),0)))))</f>
        <v/>
      </c>
      <c r="BV47" s="45">
        <f>IF(IFERROR(MATCH($C$47,$AW$9:$AW$48,1),0)&lt;=0,INDEX($AX$9:$AX$48,1),IF(IFERROR(MATCH($C$47,$AW$9:$AW$48,1),0)&gt;=40,INDEX($AX$9:$AX$48,40),INDEX($AX$9:$AX$48,IFERROR(MATCH($C$47,$AW$9:$AW$48,1),0))+(INDEX($AX$9:$AX$48,IFERROR(MATCH($C$47,$AW$9:$AW$48,1),0)+1)-INDEX($AX$9:$AX$48,IFERROR(MATCH($C$47,$AW$9:$AW$48,1),0)))*($C$47-INDEX($AW$9:$AW$48,IFERROR(MATCH($C$47,$AW$9:$AW$48,1),0)))/MAX(1E-9,INDEX($AW$9:$AW$48,IFERROR(MATCH($C$47,$AW$9:$AW$48,1),0)+1)-INDEX($AW$9:$AW$48,IFERROR(MATCH($C$47,$AW$9:$AW$48,1),0)))))</f>
        <v/>
      </c>
    </row>
    <row r="48">
      <c r="B48" s="47" t="inlineStr">
        <is>
          <t>0.9CM − SY</t>
        </is>
      </c>
      <c r="C48" s="25" t="n">
        <v>52</v>
      </c>
      <c r="D48" s="25" t="n">
        <v>-11.5</v>
      </c>
      <c r="E48" s="25" t="n">
        <v>1</v>
      </c>
      <c r="F48" s="34">
        <f>BI48</f>
        <v/>
      </c>
      <c r="G48" s="34">
        <f>BJ48</f>
        <v/>
      </c>
      <c r="H48" s="34">
        <f>BR48</f>
        <v/>
      </c>
      <c r="AK48" s="46">
        <f>10.0*$D$15</f>
        <v/>
      </c>
      <c r="AL48" s="46">
        <f>MIN($D$66*AK48,$D$15)</f>
        <v/>
      </c>
      <c r="AM48" s="46">
        <f>(0.85*$D$11*AL48*$D$14+SUMPRODUCT($AF$8:$AF$17,(ABS(6000*(1-$AE$8:$AE$17/AK48)+$D$12)-ABS(6000*(1-$AE$8:$AE$17/AK48)-$D$12))/2-0.85*$D$11*($AE$8:$AE$17&lt;AL48)))/1000</f>
        <v/>
      </c>
      <c r="AN48" s="46">
        <f>(0.85*$D$11*AL48*$D$14*($D$15/2-AL48/2)+SUMPRODUCT($AF$8:$AF$17,(ABS(6000*(1-$AE$8:$AE$17/AK48)+$D$12)-ABS(6000*(1-$AE$8:$AE$17/AK48)-$D$12))/2-0.85*$D$11*($AE$8:$AE$17&lt;AL48),$D$15/2-$AE$8:$AE$17))/100000</f>
        <v/>
      </c>
      <c r="AO48" s="46">
        <f>IF(AM48&lt;=0,0.9,MAX(0.7,0.9/(1+0.2*AM48/$D$71)))</f>
        <v/>
      </c>
      <c r="AP48" s="46">
        <f>MIN(AO48*AM48,$D$68)</f>
        <v/>
      </c>
      <c r="AQ48" s="46">
        <f>MAX(0,AO48*AN48)</f>
        <v/>
      </c>
      <c r="AR48" s="46">
        <f>IF(AS48&gt;0,-AQ48/AS48,-1E+9)</f>
        <v/>
      </c>
      <c r="AS48" s="46">
        <f>AO48*AM48</f>
        <v/>
      </c>
      <c r="AU48" s="46">
        <f>10.0*$D$14</f>
        <v/>
      </c>
      <c r="AV48" s="46">
        <f>MIN($D$66*AU48,$D$14)</f>
        <v/>
      </c>
      <c r="AW48" s="46">
        <f>(0.85*$D$11*AV48*$D$15+SUMPRODUCT($AH$8:$AH$17,(ABS(6000*(1-$AG$8:$AG$17/AU48)+$D$12)-ABS(6000*(1-$AG$8:$AG$17/AU48)-$D$12))/2-0.85*$D$11*($AG$8:$AG$17&lt;AV48)))/1000</f>
        <v/>
      </c>
      <c r="AX48" s="46">
        <f>(0.85*$D$11*AV48*$D$15*($D$14/2-AV48/2)+SUMPRODUCT($AH$8:$AH$17,(ABS(6000*(1-$AG$8:$AG$17/AU48)+$D$12)-ABS(6000*(1-$AG$8:$AG$17/AU48)-$D$12))/2-0.85*$D$11*($AG$8:$AG$17&lt;AV48),$D$14/2-$AG$8:$AG$17))/100000</f>
        <v/>
      </c>
      <c r="AY48" s="46">
        <f>IF(AW48&lt;=0,0.9,MAX(0.7,0.9/(1+0.2*AW48/$D$72)))</f>
        <v/>
      </c>
      <c r="AZ48" s="46">
        <f>MIN(AY48*AW48,$D$68)</f>
        <v/>
      </c>
      <c r="BA48" s="46">
        <f>MAX(0,AY48*AX48)</f>
        <v/>
      </c>
      <c r="BB48" s="46">
        <f>IF(BC48&gt;0,-BA48/BC48,-1E+9)</f>
        <v/>
      </c>
      <c r="BC48" s="46">
        <f>AY48*AW48</f>
        <v/>
      </c>
      <c r="BE48" s="45">
        <f>BS48*IF(AND($D$74&gt;=$D$73,$D$26="Sí"),MAX(ABS($D$48),MAX(0,$C$48)*(1.5+0.03*$D$15)/100),ABS($D$48))</f>
        <v/>
      </c>
      <c r="BF48" s="45">
        <f>BT48*IF(AND($D$75&gt;=$D$73,$D$26="Sí"),MAX(ABS($E$48),MAX(0,$C$48)*(1.5+0.03*$D$14)/100),ABS($E$48))</f>
        <v/>
      </c>
      <c r="BG48" s="45">
        <f>IFERROR(MATCH($C$48,$AP$9:$AP$48,1),0)</f>
        <v/>
      </c>
      <c r="BH48" s="45">
        <f>IFERROR(MATCH($C$48,$AZ$9:$AZ$48,1),0)</f>
        <v/>
      </c>
      <c r="BI48" s="45">
        <f>IF(BG48&lt;=0,INDEX($AQ$9:$AQ$48,1),IF(BG48&gt;=40,INDEX($AQ$9:$AQ$48,40),INDEX($AQ$9:$AQ$48,BG48)+(INDEX($AQ$9:$AQ$48,BG48+1)-INDEX($AQ$9:$AQ$48,BG48))*($C$48-INDEX($AP$9:$AP$48,BG48))/MAX(1E-9,INDEX($AP$9:$AP$48,BG48+1)-INDEX($AP$9:$AP$48,BG48))))</f>
        <v/>
      </c>
      <c r="BJ48" s="45">
        <f>IF(BH48&lt;=0,INDEX($BA$9:$BA$48,1),IF(BH48&gt;=40,INDEX($BA$9:$BA$48,40),INDEX($BA$9:$BA$48,BH48)+(INDEX($BA$9:$BA$48,BH48+1)-INDEX($BA$9:$BA$48,BH48))*($C$48-INDEX($AZ$9:$AZ$48,BH48))/MAX(1E-9,INDEX($AZ$9:$AZ$48,BH48+1)-INDEX($AZ$9:$AZ$48,BH48))))</f>
        <v/>
      </c>
      <c r="BK48" s="45">
        <f>IF($C$48&gt;0,BE48/$C$48,0)</f>
        <v/>
      </c>
      <c r="BL48" s="45">
        <f>IF($C$48&gt;0,BF48/$C$48,0)</f>
        <v/>
      </c>
      <c r="BM48" s="45">
        <f>IFERROR(MATCH(-BK48,$AR$9:$AR$48,1),0)</f>
        <v/>
      </c>
      <c r="BN48" s="45">
        <f>IFERROR(MATCH(-BL48,$BB$9:$BB$48,1),0)</f>
        <v/>
      </c>
      <c r="BO48" s="45">
        <f>IF(BM48&lt;=0,INDEX($AS$9:$AS$48,1),IF(BM48&gt;=40,INDEX($AS$9:$AS$48,40),INDEX($AS$9:$AS$48,BM48)+(INDEX($AS$9:$AS$48,BM48+1)-INDEX($AS$9:$AS$48,BM48))*(-BK48-INDEX($AR$9:$AR$48,BM48))/MAX(1E-9,INDEX($AR$9:$AR$48,BM48+1)-INDEX($AR$9:$AR$48,BM48))))</f>
        <v/>
      </c>
      <c r="BP48" s="45">
        <f>IF(BN48&lt;=0,INDEX($BC$9:$BC$48,1),IF(BN48&gt;=40,INDEX($BC$9:$BC$48,40),INDEX($BC$9:$BC$48,BN48)+(INDEX($BC$9:$BC$48,BN48+1)-INDEX($BC$9:$BC$48,BN48))*(-BL48-INDEX($BB$9:$BB$48,BN48))/MAX(1E-9,INDEX($BB$9:$BB$48,BN48+1)-INDEX($BB$9:$BB$48,BN48))))</f>
        <v/>
      </c>
      <c r="BQ48" s="45">
        <f>IFERROR(1/(1/BO48+1/BP48-1/(0.7*$D$67)),0.0001)</f>
        <v/>
      </c>
      <c r="BR48" s="45">
        <f>IF(AND($C$48=0,$D$48=0,$E$48=0),0,IF($C$48&gt;$D$68,99,IF($C$48&gt;=0.1*$D$11*$D$58/1000,$C$48/MAX(0.0001,MIN(BQ48,$D$68)),BE48/MAX(0.0001,BI48)+BF48/MAX(0.0001,BJ48))))</f>
        <v/>
      </c>
      <c r="BS48" s="45">
        <f>IF($D$74&lt;$D$73,1,IF($D$26="Sí",IF($C$48&gt;=0.75*$D$77,99,MAX(1,$D$79/(1-MAX(0,$C$48)/(0.75*$D$77)))),$D$80))</f>
        <v/>
      </c>
      <c r="BT48" s="45">
        <f>IF($D$75&lt;$D$73,1,IF($D$26="Sí",IF($C$48&gt;=0.75*$D$78,99,MAX(1,$D$79/(1-MAX(0,$C$48)/(0.75*$D$78)))),$D$80))</f>
        <v/>
      </c>
      <c r="BU48" s="45">
        <f>IF(IFERROR(MATCH($C$48,$AM$9:$AM$48,1),0)&lt;=0,INDEX($AN$9:$AN$48,1),IF(IFERROR(MATCH($C$48,$AM$9:$AM$48,1),0)&gt;=40,INDEX($AN$9:$AN$48,40),INDEX($AN$9:$AN$48,IFERROR(MATCH($C$48,$AM$9:$AM$48,1),0))+(INDEX($AN$9:$AN$48,IFERROR(MATCH($C$48,$AM$9:$AM$48,1),0)+1)-INDEX($AN$9:$AN$48,IFERROR(MATCH($C$48,$AM$9:$AM$48,1),0)))*($C$48-INDEX($AM$9:$AM$48,IFERROR(MATCH($C$48,$AM$9:$AM$48,1),0)))/MAX(1E-9,INDEX($AM$9:$AM$48,IFERROR(MATCH($C$48,$AM$9:$AM$48,1),0)+1)-INDEX($AM$9:$AM$48,IFERROR(MATCH($C$48,$AM$9:$AM$48,1),0)))))</f>
        <v/>
      </c>
      <c r="BV48" s="45">
        <f>IF(IFERROR(MATCH($C$48,$AW$9:$AW$48,1),0)&lt;=0,INDEX($AX$9:$AX$48,1),IF(IFERROR(MATCH($C$48,$AW$9:$AW$48,1),0)&gt;=40,INDEX($AX$9:$AX$48,40),INDEX($AX$9:$AX$48,IFERROR(MATCH($C$48,$AW$9:$AW$48,1),0))+(INDEX($AX$9:$AX$48,IFERROR(MATCH($C$48,$AW$9:$AW$48,1),0)+1)-INDEX($AX$9:$AX$48,IFERROR(MATCH($C$48,$AW$9:$AW$48,1),0)))*($C$48-INDEX($AW$9:$AW$48,IFERROR(MATCH($C$48,$AW$9:$AW$48,1),0)))/MAX(1E-9,INDEX($AW$9:$AW$48,IFERROR(MATCH($C$48,$AW$9:$AW$48,1),0)+1)-INDEX($AW$9:$AW$48,IFERROR(MATCH($C$48,$AW$9:$AW$48,1),0)))))</f>
        <v/>
      </c>
    </row>
    <row r="49">
      <c r="B49" s="27" t="inlineStr">
        <is>
          <t>Copie las combinaciones de ETABS (Pu positivo en compresión). Puede dejar filas en 0. D/C se calcula con los momentos amplificados por esbeltez cuando corresponde.</t>
        </is>
      </c>
    </row>
    <row r="51" ht="17" customHeight="1">
      <c r="B51" s="21" t="inlineStr">
        <is>
          <t>2. PROPIEDADES DE LA SECCIÓN</t>
        </is>
      </c>
    </row>
    <row r="52" ht="13.5" customHeight="1">
      <c r="B52" s="9" t="inlineStr">
        <is>
          <t>Diámetro de la varilla</t>
        </is>
      </c>
      <c r="C52" s="22" t="inlineStr">
        <is>
          <t>db</t>
        </is>
      </c>
      <c r="D52" s="39">
        <f>INDEX(BAR_DB,MATCH($D$17,BAR_NOM,0))</f>
        <v/>
      </c>
      <c r="E52" s="24" t="inlineStr">
        <is>
          <t>cm</t>
        </is>
      </c>
    </row>
    <row r="53" ht="13.5" customHeight="1">
      <c r="B53" s="9" t="inlineStr">
        <is>
          <t>Área de la varilla</t>
        </is>
      </c>
      <c r="C53" s="22" t="inlineStr">
        <is>
          <t>Ab</t>
        </is>
      </c>
      <c r="D53" s="34">
        <f>INDEX(BAR_AS,MATCH($D$17,BAR_NOM,0))</f>
        <v/>
      </c>
      <c r="E53" s="24" t="inlineStr">
        <is>
          <t>cm²</t>
        </is>
      </c>
    </row>
    <row r="54" ht="13.5" customHeight="1">
      <c r="B54" s="9" t="inlineStr">
        <is>
          <t>Diámetro del estribo</t>
        </is>
      </c>
      <c r="C54" s="22" t="inlineStr">
        <is>
          <t>dbe</t>
        </is>
      </c>
      <c r="D54" s="39">
        <f>INDEX(BAR_DB,MATCH($D$20,BAR_NOM,0))</f>
        <v/>
      </c>
      <c r="E54" s="24" t="inlineStr">
        <is>
          <t>cm</t>
        </is>
      </c>
    </row>
    <row r="55" ht="13.5" customHeight="1">
      <c r="B55" s="9" t="inlineStr">
        <is>
          <t>Área del estribo</t>
        </is>
      </c>
      <c r="C55" s="22" t="inlineStr">
        <is>
          <t>Abe</t>
        </is>
      </c>
      <c r="D55" s="34">
        <f>INDEX(BAR_AS,MATCH($D$20,BAR_NOM,0))</f>
        <v/>
      </c>
      <c r="E55" s="24" t="inlineStr">
        <is>
          <t>cm²</t>
        </is>
      </c>
    </row>
    <row r="56" ht="13.5" customHeight="1">
      <c r="B56" s="9" t="inlineStr">
        <is>
          <t>Número total de varillas 2nx + 2ny − 4</t>
        </is>
      </c>
      <c r="C56" s="22" t="inlineStr">
        <is>
          <t>n</t>
        </is>
      </c>
      <c r="D56" s="28">
        <f>2*$D$18+2*$D$19-4</f>
        <v/>
      </c>
      <c r="E56" s="24" t="inlineStr"/>
    </row>
    <row r="57" ht="13.5" customHeight="1">
      <c r="B57" s="9" t="inlineStr">
        <is>
          <t>Acero longitudinal total</t>
        </is>
      </c>
      <c r="C57" s="22" t="inlineStr">
        <is>
          <t>Ast</t>
        </is>
      </c>
      <c r="D57" s="34">
        <f>$D$56*$D$53</f>
        <v/>
      </c>
      <c r="E57" s="24" t="inlineStr">
        <is>
          <t>cm²</t>
        </is>
      </c>
    </row>
    <row r="58" ht="13.5" customHeight="1">
      <c r="B58" s="9" t="inlineStr">
        <is>
          <t>Área bruta</t>
        </is>
      </c>
      <c r="C58" s="22" t="inlineStr">
        <is>
          <t>Ag</t>
        </is>
      </c>
      <c r="D58" s="28">
        <f>$D$14*$D$15</f>
        <v/>
      </c>
      <c r="E58" s="24" t="inlineStr">
        <is>
          <t>cm²</t>
        </is>
      </c>
    </row>
    <row r="59" ht="13.5" customHeight="1">
      <c r="B59" s="9" t="inlineStr">
        <is>
          <t>Cuantía ρ = Ast/Ag</t>
        </is>
      </c>
      <c r="C59" s="22" t="inlineStr">
        <is>
          <t>ρ</t>
        </is>
      </c>
      <c r="D59" s="48">
        <f>$D$57/$D$58</f>
        <v/>
      </c>
      <c r="E59" s="24" t="inlineStr"/>
    </row>
    <row r="60" ht="13.5" customHeight="1">
      <c r="B60" s="9" t="inlineStr">
        <is>
          <t>1 % ≤ ρ ≤ 6 % (10.9.1 y 21)</t>
        </is>
      </c>
      <c r="C60" s="29">
        <f>IF(AND($D$59&gt;=0.01-0.00001,$D$59&lt;=0.06),"CUMPLE","NO CUMPLE")</f>
        <v/>
      </c>
      <c r="D60" s="30" t="n"/>
      <c r="E60" s="30" t="n"/>
      <c r="F60" s="27" t="inlineStr">
        <is>
          <t>Si ρ &gt; 4 %: detalle el nudo en los planos</t>
        </is>
      </c>
    </row>
    <row r="61" ht="13.5" customHeight="1">
      <c r="B61" s="9" t="inlineStr">
        <is>
          <t>Recubrimiento al centro de la varilla</t>
        </is>
      </c>
      <c r="C61" s="22" t="inlineStr">
        <is>
          <t>rc</t>
        </is>
      </c>
      <c r="D61" s="34">
        <f>$D$16+$D$54+$D$52/2</f>
        <v/>
      </c>
      <c r="E61" s="24" t="inlineStr">
        <is>
          <t>cm</t>
        </is>
      </c>
    </row>
    <row r="62" ht="13.5" customHeight="1">
      <c r="B62" s="9" t="inlineStr">
        <is>
          <t>Espacio libre entre varillas en la cara B</t>
        </is>
      </c>
      <c r="C62" s="22" t="inlineStr"/>
      <c r="D62" s="26">
        <f>($D$14-2*$D$61)/MAX(1,$D$18-1)-$D$52</f>
        <v/>
      </c>
      <c r="E62" s="24" t="inlineStr">
        <is>
          <t>cm</t>
        </is>
      </c>
    </row>
    <row r="63" ht="13.5" customHeight="1">
      <c r="B63" s="9" t="inlineStr">
        <is>
          <t>Espacio libre entre varillas en la cara H</t>
        </is>
      </c>
      <c r="C63" s="22" t="inlineStr"/>
      <c r="D63" s="26">
        <f>($D$15-2*$D$61)/MAX(1,$D$19-1)-$D$52</f>
        <v/>
      </c>
      <c r="E63" s="24" t="inlineStr">
        <is>
          <t>cm</t>
        </is>
      </c>
    </row>
    <row r="64" ht="13.5" customHeight="1">
      <c r="B64" s="9" t="inlineStr">
        <is>
          <t>Espacio libre ≥ máx(1.5db, 4 cm)</t>
        </is>
      </c>
      <c r="C64" s="29">
        <f>IF(MIN($D$62,$D$63)&gt;=MAX(1.5*$D$52,4),"CUMPLE","NO CUMPLE")</f>
        <v/>
      </c>
      <c r="D64" s="30" t="n"/>
      <c r="E64" s="30" t="n"/>
      <c r="F64" s="27" t="inlineStr">
        <is>
          <t>E.060 7.6.3</t>
        </is>
      </c>
    </row>
    <row r="65" ht="24" customHeight="1">
      <c r="B65" s="9" t="inlineStr">
        <is>
          <t>Pórticos: lado menor ≥ 25 cm y relación ≥ 0.25 (21.6.1)</t>
        </is>
      </c>
      <c r="C65" s="29">
        <f>IF(OR(NOT($D$13="Pórticos o dual tipo II"),AND(MIN($D$14,$D$15)&gt;=25,MIN($D$14,$D$15)/MAX($D$14,$D$15)&gt;=0.25)),"CUMPLE","NO CUMPLE")</f>
        <v/>
      </c>
      <c r="D65" s="30" t="n"/>
      <c r="E65" s="30" t="n"/>
    </row>
    <row r="66" ht="13.5" customHeight="1">
      <c r="B66" s="9" t="inlineStr">
        <is>
          <t>Factor β1</t>
        </is>
      </c>
      <c r="C66" s="22" t="inlineStr">
        <is>
          <t>β1</t>
        </is>
      </c>
      <c r="D66" s="39">
        <f>IF($D$11&lt;=280,0.85,MAX(0.65,0.85-0.05*($D$11-280)/70))</f>
        <v/>
      </c>
      <c r="E66" s="24" t="inlineStr"/>
    </row>
    <row r="67" ht="24" customHeight="1">
      <c r="B67" s="9" t="inlineStr">
        <is>
          <t>Resistencia axial Po = 0.85f'c(Ag − Ast) + fy·Ast</t>
        </is>
      </c>
      <c r="C67" s="22" t="inlineStr">
        <is>
          <t>Po</t>
        </is>
      </c>
      <c r="D67" s="34">
        <f>(0.85*$D$11*($D$58-$D$57)+$D$12*$D$57)/1000</f>
        <v/>
      </c>
      <c r="E67" s="24" t="inlineStr">
        <is>
          <t>t</t>
        </is>
      </c>
    </row>
    <row r="68" ht="13.5" customHeight="1">
      <c r="B68" s="9" t="inlineStr">
        <is>
          <t>φPn máx = 0.80·0.70·Po</t>
        </is>
      </c>
      <c r="C68" s="22" t="inlineStr">
        <is>
          <t>φPnmáx</t>
        </is>
      </c>
      <c r="D68" s="34">
        <f>0.8*0.7*$D$67</f>
        <v/>
      </c>
      <c r="E68" s="24" t="inlineStr">
        <is>
          <t>t</t>
        </is>
      </c>
      <c r="F68" s="27" t="inlineStr">
        <is>
          <t>E.060 10.3.6.2 (estribos)</t>
        </is>
      </c>
    </row>
    <row r="69" ht="13.5" customHeight="1">
      <c r="B69" s="9" t="inlineStr">
        <is>
          <t>Carga balanceada (flexión en X)</t>
        </is>
      </c>
      <c r="C69" s="22" t="inlineStr">
        <is>
          <t>Pb</t>
        </is>
      </c>
      <c r="D69" s="34">
        <f>(0.85*$D$11*MIN($D$66*(6000*MAX($AE$8:$AE$17)/(6000+$D$12)),$D$15)*$D$14+SUMPRODUCT($AF$8:$AF$17,(ABS(6000*(1-$AE$8:$AE$17/(6000*MAX($AE$8:$AE$17)/(6000+$D$12)))+$D$12)-ABS(6000*(1-$AE$8:$AE$17/(6000*MAX($AE$8:$AE$17)/(6000+$D$12)))-$D$12))/2-0.85*$D$11*($AE$8:$AE$17&lt;MIN($D$66*(6000*MAX($AE$8:$AE$17)/(6000+$D$12)),$D$15))))/1000</f>
        <v/>
      </c>
      <c r="E69" s="24" t="inlineStr">
        <is>
          <t>t</t>
        </is>
      </c>
    </row>
    <row r="70" ht="13.5" customHeight="1">
      <c r="B70" s="9" t="inlineStr">
        <is>
          <t>Carga balanceada (flexión en Y)</t>
        </is>
      </c>
      <c r="C70" s="22" t="inlineStr">
        <is>
          <t>Pb</t>
        </is>
      </c>
      <c r="D70" s="34">
        <f>(0.85*$D$11*MIN($D$66*(6000*MAX($AG$8:$AG$17)/(6000+$D$12)),$D$14)*$D$15+SUMPRODUCT($AH$8:$AH$17,(ABS(6000*(1-$AG$8:$AG$17/(6000*MAX($AG$8:$AG$17)/(6000+$D$12)))+$D$12)-ABS(6000*(1-$AG$8:$AG$17/(6000*MAX($AG$8:$AG$17)/(6000+$D$12)))-$D$12))/2-0.85*$D$11*($AG$8:$AG$17&lt;MIN($D$66*(6000*MAX($AG$8:$AG$17)/(6000+$D$12)),$D$14))))/1000</f>
        <v/>
      </c>
      <c r="E70" s="24" t="inlineStr">
        <is>
          <t>t</t>
        </is>
      </c>
    </row>
    <row r="71" ht="24" customHeight="1">
      <c r="B71" s="9" t="inlineStr">
        <is>
          <t>Límite de transición de φ en X: mín(0.1f'c·Ag, φPb)</t>
        </is>
      </c>
      <c r="C71" s="22" t="inlineStr"/>
      <c r="D71" s="34">
        <f>MAX(0.001,MIN(0.1*$D$11*$D$58/1000,0.7*$D$69))</f>
        <v/>
      </c>
      <c r="E71" s="24" t="inlineStr">
        <is>
          <t>t</t>
        </is>
      </c>
      <c r="F71" s="27" t="inlineStr">
        <is>
          <t>E.060 9.3.2.2: φ sube de 0.70 a 0.90</t>
        </is>
      </c>
    </row>
    <row r="72" ht="13.5" customHeight="1">
      <c r="B72" s="9" t="inlineStr">
        <is>
          <t>Límite de transición de φ en Y</t>
        </is>
      </c>
      <c r="C72" s="22" t="inlineStr"/>
      <c r="D72" s="34">
        <f>MAX(0.001,MIN(0.1*$D$11*$D$58/1000,0.7*$D$70))</f>
        <v/>
      </c>
      <c r="E72" s="24" t="inlineStr">
        <is>
          <t>t</t>
        </is>
      </c>
    </row>
    <row r="73" ht="24" customHeight="1">
      <c r="B73" s="9" t="inlineStr">
        <is>
          <t>Esbeltez: límite k·lu/r</t>
        </is>
      </c>
      <c r="C73" s="22" t="inlineStr"/>
      <c r="D73" s="26">
        <f>IF($D$26="Sí",MIN(40,34-12*$D$27),22)</f>
        <v/>
      </c>
      <c r="E73" s="24" t="inlineStr"/>
      <c r="F73" s="27" t="inlineStr">
        <is>
          <t>Arriostrado: 34 − 12·M1/M2 ≤ 40 · No arriostrado: 22 (10.12.2 / 10.13.2)</t>
        </is>
      </c>
    </row>
    <row r="74" ht="13.5" customHeight="1">
      <c r="B74" s="9" t="inlineStr">
        <is>
          <t>Esbeltez: k·lu/r flexión en X (r = 0.3H)</t>
        </is>
      </c>
      <c r="C74" s="22" t="inlineStr"/>
      <c r="D74" s="26">
        <f>$D$25*$D$24*100/(0.3*$D$15)</f>
        <v/>
      </c>
      <c r="E74" s="24" t="inlineStr"/>
    </row>
    <row r="75" ht="13.5" customHeight="1">
      <c r="B75" s="9" t="inlineStr">
        <is>
          <t>Esbeltez: k·lu/r flexión en Y (r = 0.3B)</t>
        </is>
      </c>
      <c r="C75" s="22" t="inlineStr"/>
      <c r="D75" s="26">
        <f>$D$25*$D$24*100/(0.3*$D$14)</f>
        <v/>
      </c>
      <c r="E75" s="24" t="inlineStr"/>
    </row>
    <row r="76" ht="13.5" customHeight="1">
      <c r="B76" s="9" t="inlineStr">
        <is>
          <t>Módulo del concreto Ec = 15000√f'c</t>
        </is>
      </c>
      <c r="C76" s="22" t="inlineStr">
        <is>
          <t>Ec</t>
        </is>
      </c>
      <c r="D76" s="28">
        <f>15000*SQRT($D$11)</f>
        <v/>
      </c>
      <c r="E76" s="24" t="inlineStr">
        <is>
          <t>kgf/cm²</t>
        </is>
      </c>
    </row>
    <row r="77" ht="24" customHeight="1">
      <c r="B77" s="9" t="inlineStr">
        <is>
          <t>Carga crítica Pc = π²·0.4·Ec·Ig/((1+βd)(k·lu)²) en X</t>
        </is>
      </c>
      <c r="C77" s="22" t="inlineStr">
        <is>
          <t>Pc</t>
        </is>
      </c>
      <c r="D77" s="34">
        <f>PI()^2*0.4*$D$76*$D$14*$D$15^3/12/(1+$D$28)/($D$25*$D$24*100)^2/1000</f>
        <v/>
      </c>
      <c r="E77" s="24" t="inlineStr">
        <is>
          <t>t</t>
        </is>
      </c>
      <c r="F77" s="27" t="inlineStr">
        <is>
          <t>10.12.3</t>
        </is>
      </c>
    </row>
    <row r="78" ht="13.5" customHeight="1">
      <c r="B78" s="9" t="inlineStr">
        <is>
          <t>Carga crítica en Y</t>
        </is>
      </c>
      <c r="C78" s="22" t="inlineStr">
        <is>
          <t>Pc</t>
        </is>
      </c>
      <c r="D78" s="34">
        <f>PI()^2*0.4*$D$76*$D$15*$D$14^3/12/(1+$D$28)/($D$25*$D$24*100)^2/1000</f>
        <v/>
      </c>
      <c r="E78" s="24" t="inlineStr">
        <is>
          <t>t</t>
        </is>
      </c>
    </row>
    <row r="79" ht="13.5" customHeight="1">
      <c r="B79" s="9" t="inlineStr">
        <is>
          <t>Cm = 0.6 + 0.4·M1/M2 ≥ 0.4</t>
        </is>
      </c>
      <c r="C79" s="22" t="inlineStr">
        <is>
          <t>Cm</t>
        </is>
      </c>
      <c r="D79" s="39">
        <f>MAX(0.4,0.6+0.4*$D$27)</f>
        <v/>
      </c>
      <c r="E79" s="24" t="inlineStr"/>
    </row>
    <row r="80" ht="13.5" customHeight="1">
      <c r="B80" s="9" t="inlineStr">
        <is>
          <t>δs = 1/(1 − Q) (no arriostrado)</t>
        </is>
      </c>
      <c r="C80" s="22" t="inlineStr">
        <is>
          <t>δs</t>
        </is>
      </c>
      <c r="D80" s="39">
        <f>IF($D$29&gt;=1,99,1/(1-$D$29))</f>
        <v/>
      </c>
      <c r="E80" s="24" t="inlineStr"/>
      <c r="F80" s="27" t="inlineStr">
        <is>
          <t>10.13.4.1</t>
        </is>
      </c>
    </row>
    <row r="82" ht="17" customHeight="1">
      <c r="B82" s="21" t="inlineStr">
        <is>
          <t>3. VERIFICACIÓN POR FLEXOCOMPRESIÓN (E.060 10.3 y 9.3.2.2)</t>
        </is>
      </c>
    </row>
    <row r="83" ht="24" customHeight="1">
      <c r="B83" s="27" t="inlineStr">
        <is>
          <t>φ = 0.70 en compresión; sube linealmente a 0.90 cuando φPn baja de mín(0.1f'c·Ag, φPb) a cero. Biaxial: Bresler (1/Pni = 1/Pnx + 1/Pny − 1/Po) si Pu ≥ 0.1f'c·Ag; si no, Mux/φMnx + Muy/φMny ≤ 1.</t>
        </is>
      </c>
    </row>
    <row r="84" ht="13.5" customHeight="1">
      <c r="B84" s="9" t="inlineStr">
        <is>
          <t>Carga axial máxima de las combinaciones</t>
        </is>
      </c>
      <c r="C84" s="22" t="inlineStr">
        <is>
          <t>Pu máx</t>
        </is>
      </c>
      <c r="D84" s="34">
        <f>MAX($C$40:$C$48)</f>
        <v/>
      </c>
      <c r="E84" s="24" t="inlineStr">
        <is>
          <t>t</t>
        </is>
      </c>
    </row>
    <row r="85" ht="13.5" customHeight="1">
      <c r="B85" s="9" t="inlineStr">
        <is>
          <t>Pu máx ≤ φPn máx</t>
        </is>
      </c>
      <c r="C85" s="29">
        <f>IF($D$84&lt;=$D$68,"CUMPLE","NO CUMPLE")</f>
        <v/>
      </c>
      <c r="D85" s="30" t="n"/>
      <c r="E85" s="30" t="n"/>
      <c r="F85" s="27" t="inlineStr">
        <is>
          <t>Si no cumple: aumente la sección o f'c</t>
        </is>
      </c>
    </row>
    <row r="86" ht="13.5" customHeight="1">
      <c r="B86" s="9" t="inlineStr">
        <is>
          <t>Relación demanda/capacidad máxima</t>
        </is>
      </c>
      <c r="C86" s="22" t="inlineStr">
        <is>
          <t>D/C</t>
        </is>
      </c>
      <c r="D86" s="34">
        <f>MAX($H$40:$H$48)</f>
        <v/>
      </c>
      <c r="E86" s="24" t="inlineStr"/>
      <c r="F86" s="27" t="inlineStr">
        <is>
          <t>Columna H de la tabla de combinaciones</t>
        </is>
      </c>
    </row>
    <row r="87" ht="13.5" customHeight="1">
      <c r="B87" s="9" t="inlineStr">
        <is>
          <t>D/C ≤ 1.00 en todas las combinaciones</t>
        </is>
      </c>
      <c r="C87" s="29">
        <f>IF($D$86&lt;=1.0001,"CUMPLE","NO CUMPLE")</f>
        <v/>
      </c>
      <c r="D87" s="30" t="n"/>
      <c r="E87" s="30" t="n"/>
      <c r="F87" s="27" t="inlineStr">
        <is>
          <t>Si no cumple: más acero o mayor sección</t>
        </is>
      </c>
    </row>
    <row r="89" ht="17" customHeight="1">
      <c r="B89" s="21" t="inlineStr">
        <is>
          <t>4. ESBELTEZ (E.060 10.11–10.13)</t>
        </is>
      </c>
    </row>
    <row r="90" ht="13.5" customHeight="1">
      <c r="B90" s="9" t="inlineStr">
        <is>
          <t>k·lu/r máximo / límite</t>
        </is>
      </c>
      <c r="C90" s="22" t="inlineStr"/>
      <c r="D90" s="44">
        <f>FIXED(MAX($D$74,$D$75),1)&amp;" / "&amp;FIXED($D$73,1)</f>
        <v/>
      </c>
      <c r="E90" s="30" t="n"/>
      <c r="F90" s="30" t="n"/>
      <c r="G90" s="30" t="n"/>
      <c r="H90" s="30" t="n"/>
    </row>
    <row r="91" ht="13.5" customHeight="1">
      <c r="B91" s="9" t="inlineStr">
        <is>
          <t>Efectos de esbeltez</t>
        </is>
      </c>
      <c r="C91" s="22" t="inlineStr"/>
      <c r="D91" s="44">
        <f>IF(MAX($D$74,$D$75)&lt;$D$73,"Se desprecian (no se amplifican momentos)",IF($D$26="Sí","Se amplifican con δns = Cm/(1 − Pu/0.75Pc)","Se amplifican con δs = 1/(1 − Q)"))</f>
        <v/>
      </c>
      <c r="E91" s="30" t="n"/>
      <c r="F91" s="30" t="n"/>
      <c r="G91" s="30" t="n"/>
      <c r="H91" s="30" t="n"/>
    </row>
    <row r="92" ht="24" customHeight="1">
      <c r="B92" s="9" t="inlineStr">
        <is>
          <t>Factor de amplificación máximo usado</t>
        </is>
      </c>
      <c r="C92" s="22" t="inlineStr">
        <is>
          <t>δ máx</t>
        </is>
      </c>
      <c r="D92" s="39">
        <f>MAX(BS40:BT48)</f>
        <v/>
      </c>
      <c r="E92" s="24" t="inlineStr"/>
      <c r="F92" s="27" t="inlineStr">
        <is>
          <t>Los D/C de la tabla ya usan los momentos amplificados</t>
        </is>
      </c>
    </row>
    <row r="93" ht="24" customHeight="1">
      <c r="B93" s="9" t="inlineStr">
        <is>
          <t>Esbeltez dentro de los límites (k·lu/r ≤ 100, Pu &lt; 0.75Pc, δs ≤ 1.5)</t>
        </is>
      </c>
      <c r="C93" s="29">
        <f>IF(AND(MAX($D$74,$D$75)&lt;=100,$D$92&lt;99,OR($D$26="Sí",$D$80&lt;=1.5)),"CUMPLE","NO CUMPLE")</f>
        <v/>
      </c>
      <c r="D93" s="30" t="n"/>
      <c r="E93" s="30" t="n"/>
      <c r="F93" s="27" t="inlineStr">
        <is>
          <t>Si no cumple: aumente la sección o use análisis de segundo orden</t>
        </is>
      </c>
    </row>
    <row r="95" ht="17" customHeight="1">
      <c r="B95" s="21" t="inlineStr">
        <is>
          <t>5. CORTANTE POR CAPACIDAD Y CONFINAMIENTO (E.060 21.4 / 21.6)</t>
        </is>
      </c>
    </row>
    <row r="96" ht="24" customHeight="1">
      <c r="B96" s="9" t="inlineStr">
        <is>
          <t>Factor de momento probable</t>
        </is>
      </c>
      <c r="C96" s="22" t="inlineStr">
        <is>
          <t>k</t>
        </is>
      </c>
      <c r="D96" s="34">
        <f>IF($D$13="Pórticos o dual tipo II",1.25,1.0)</f>
        <v/>
      </c>
      <c r="E96" s="24" t="inlineStr"/>
      <c r="F96" s="27" t="inlineStr">
        <is>
          <t>Pórticos: 1.25·Mn (21.6.5) · Muros: Mn (21.4.3)</t>
        </is>
      </c>
    </row>
    <row r="97" ht="13.5" customHeight="1">
      <c r="B97" s="9" t="inlineStr">
        <is>
          <t>Mn máximo en X para Pn ≤ Pu máx</t>
        </is>
      </c>
      <c r="C97" s="22" t="inlineStr">
        <is>
          <t>Mnx</t>
        </is>
      </c>
      <c r="D97" s="34">
        <f>_xlfn.MAXIFS($AN$9:$AN$48,$AM$9:$AM$48,"&lt;="&amp;$D$84)</f>
        <v/>
      </c>
      <c r="E97" s="24" t="inlineStr">
        <is>
          <t>t·m</t>
        </is>
      </c>
    </row>
    <row r="98" ht="13.5" customHeight="1">
      <c r="B98" s="9" t="inlineStr">
        <is>
          <t>Mn máximo en Y para Pn ≤ Pu máx</t>
        </is>
      </c>
      <c r="C98" s="22" t="inlineStr">
        <is>
          <t>Mny</t>
        </is>
      </c>
      <c r="D98" s="34">
        <f>_xlfn.MAXIFS($AX$9:$AX$48,$AW$9:$AW$48,"&lt;="&amp;$D$84)</f>
        <v/>
      </c>
      <c r="E98" s="24" t="inlineStr">
        <is>
          <t>t·m</t>
        </is>
      </c>
    </row>
    <row r="99" ht="13.5" customHeight="1">
      <c r="B99" s="9" t="inlineStr">
        <is>
          <t>Carga axial mínima (para Vc)</t>
        </is>
      </c>
      <c r="C99" s="22" t="inlineStr">
        <is>
          <t>Nu</t>
        </is>
      </c>
      <c r="D99" s="34">
        <f>MAX(0,MIN($C$40:$C$48))</f>
        <v/>
      </c>
      <c r="E99" s="24" t="inlineStr">
        <is>
          <t>t</t>
        </is>
      </c>
    </row>
    <row r="100">
      <c r="B100" s="4" t="inlineStr">
        <is>
          <t>Cortante en dirección Y</t>
        </is>
      </c>
    </row>
    <row r="101" ht="13.5" customHeight="1">
      <c r="B101" s="9" t="inlineStr">
        <is>
          <t>Cortante por capacidad 2·k·Mn/hn</t>
        </is>
      </c>
      <c r="C101" s="22" t="inlineStr">
        <is>
          <t>Vcap</t>
        </is>
      </c>
      <c r="D101" s="34">
        <f>2*$D$96*$D$97/$D$24</f>
        <v/>
      </c>
      <c r="E101" s="24" t="inlineStr">
        <is>
          <t>t</t>
        </is>
      </c>
    </row>
    <row r="102" ht="24" customHeight="1">
      <c r="B102" s="9" t="inlineStr">
        <is>
          <t>CORTANTE DE DISEÑO en Y</t>
        </is>
      </c>
      <c r="C102" s="22" t="inlineStr">
        <is>
          <t>Vu</t>
        </is>
      </c>
      <c r="D102" s="34">
        <f>IF($D$13="Pórticos o dual tipo II",MAX($D$34,$D$101),MAX($D$34,MIN($D$101,$D$34+1.5*$D$35)))</f>
        <v/>
      </c>
      <c r="E102" s="24" t="inlineStr">
        <is>
          <t>t</t>
        </is>
      </c>
      <c r="F102" s="27" t="inlineStr">
        <is>
          <t>Muros: menor entre capacidad y Vua + 1.5·VS (= 2.5·sismo si Vua viene de 1.25(CM+CV) ± S)</t>
        </is>
      </c>
    </row>
    <row r="103" ht="13.5" customHeight="1">
      <c r="B103" s="9" t="inlineStr">
        <is>
          <t>Vc = 0.53√f'c(1 + Nu/140Ag)·b·d</t>
        </is>
      </c>
      <c r="C103" s="22" t="inlineStr">
        <is>
          <t>Vc</t>
        </is>
      </c>
      <c r="D103" s="34">
        <f>IF(MIN($C$40:$C$48)&lt;0,0,0.53*SQRT($D$11)*(1+$D$99*1000/(140*$D$58))*$D$14*($D$15-$D$61)/1000)</f>
        <v/>
      </c>
      <c r="E103" s="24" t="inlineStr">
        <is>
          <t>t</t>
        </is>
      </c>
      <c r="F103" s="27" t="inlineStr">
        <is>
          <t>E.060 11.3.1.2</t>
        </is>
      </c>
    </row>
    <row r="104" ht="13.5" customHeight="1">
      <c r="B104" s="9" t="inlineStr">
        <is>
          <t>Vs = Vu/φ − Vc</t>
        </is>
      </c>
      <c r="C104" s="22" t="inlineStr">
        <is>
          <t>Vs</t>
        </is>
      </c>
      <c r="D104" s="34">
        <f>MAX(0,$D$102/0.85-$D$103)</f>
        <v/>
      </c>
      <c r="E104" s="24" t="inlineStr">
        <is>
          <t>t</t>
        </is>
      </c>
    </row>
    <row r="105" ht="13.5" customHeight="1">
      <c r="B105" s="9" t="inlineStr">
        <is>
          <t>Vs ≤ 2.1·√f'c·b·d</t>
        </is>
      </c>
      <c r="C105" s="29">
        <f>IF($D$104&lt;=2.1*SQRT($D$11)*$D$14*($D$15-$D$61)/1000,"CUMPLE","NO CUMPLE")</f>
        <v/>
      </c>
      <c r="D105" s="30" t="n"/>
      <c r="E105" s="30" t="n"/>
      <c r="F105" s="27" t="inlineStr">
        <is>
          <t>Si no cumple: aumente la sección</t>
        </is>
      </c>
    </row>
    <row r="106" ht="13.5" customHeight="1">
      <c r="B106" s="9" t="inlineStr">
        <is>
          <t>Espaciamiento por cortante</t>
        </is>
      </c>
      <c r="C106" s="22" t="inlineStr">
        <is>
          <t>s</t>
        </is>
      </c>
      <c r="D106" s="26">
        <f>IF($D$104&lt;=0,999,$D$21*$D$55*$D$12*($D$15-$D$61)/($D$104*1000))</f>
        <v/>
      </c>
      <c r="E106" s="24" t="inlineStr">
        <is>
          <t>cm</t>
        </is>
      </c>
    </row>
    <row r="107">
      <c r="B107" s="4" t="inlineStr">
        <is>
          <t>Cortante en dirección X</t>
        </is>
      </c>
    </row>
    <row r="108" ht="13.5" customHeight="1">
      <c r="B108" s="9" t="inlineStr">
        <is>
          <t>Cortante por capacidad 2·k·Mn/hn</t>
        </is>
      </c>
      <c r="C108" s="22" t="inlineStr">
        <is>
          <t>Vcap</t>
        </is>
      </c>
      <c r="D108" s="34">
        <f>2*$D$96*$D$98/$D$24</f>
        <v/>
      </c>
      <c r="E108" s="24" t="inlineStr">
        <is>
          <t>t</t>
        </is>
      </c>
    </row>
    <row r="109" ht="24" customHeight="1">
      <c r="B109" s="9" t="inlineStr">
        <is>
          <t>CORTANTE DE DISEÑO en X</t>
        </is>
      </c>
      <c r="C109" s="22" t="inlineStr">
        <is>
          <t>Vu</t>
        </is>
      </c>
      <c r="D109" s="34">
        <f>IF($D$13="Pórticos o dual tipo II",MAX($D$36,$D$108),MAX($D$36,MIN($D$108,$D$36+1.5*$D$37)))</f>
        <v/>
      </c>
      <c r="E109" s="24" t="inlineStr">
        <is>
          <t>t</t>
        </is>
      </c>
      <c r="F109" s="27" t="inlineStr">
        <is>
          <t>Muros: menor entre capacidad y Vua + 1.5·VS (= 2.5·sismo si Vua viene de 1.25(CM+CV) ± S)</t>
        </is>
      </c>
    </row>
    <row r="110" ht="13.5" customHeight="1">
      <c r="B110" s="9" t="inlineStr">
        <is>
          <t>Vc = 0.53√f'c(1 + Nu/140Ag)·b·d</t>
        </is>
      </c>
      <c r="C110" s="22" t="inlineStr">
        <is>
          <t>Vc</t>
        </is>
      </c>
      <c r="D110" s="34">
        <f>IF(MIN($C$40:$C$48)&lt;0,0,0.53*SQRT($D$11)*(1+$D$99*1000/(140*$D$58))*$D$15*($D$14-$D$61)/1000)</f>
        <v/>
      </c>
      <c r="E110" s="24" t="inlineStr">
        <is>
          <t>t</t>
        </is>
      </c>
      <c r="F110" s="27" t="inlineStr">
        <is>
          <t>E.060 11.3.1.2</t>
        </is>
      </c>
    </row>
    <row r="111" ht="13.5" customHeight="1">
      <c r="B111" s="9" t="inlineStr">
        <is>
          <t>Vs = Vu/φ − Vc</t>
        </is>
      </c>
      <c r="C111" s="22" t="inlineStr">
        <is>
          <t>Vs</t>
        </is>
      </c>
      <c r="D111" s="34">
        <f>MAX(0,$D$109/0.85-$D$110)</f>
        <v/>
      </c>
      <c r="E111" s="24" t="inlineStr">
        <is>
          <t>t</t>
        </is>
      </c>
    </row>
    <row r="112" ht="13.5" customHeight="1">
      <c r="B112" s="9" t="inlineStr">
        <is>
          <t>Vs ≤ 2.1·√f'c·b·d</t>
        </is>
      </c>
      <c r="C112" s="29">
        <f>IF($D$111&lt;=2.1*SQRT($D$11)*$D$15*($D$14-$D$61)/1000,"CUMPLE","NO CUMPLE")</f>
        <v/>
      </c>
      <c r="D112" s="30" t="n"/>
      <c r="E112" s="30" t="n"/>
      <c r="F112" s="27" t="inlineStr">
        <is>
          <t>Si no cumple: aumente la sección</t>
        </is>
      </c>
    </row>
    <row r="113" ht="13.5" customHeight="1">
      <c r="B113" s="9" t="inlineStr">
        <is>
          <t>Espaciamiento por cortante</t>
        </is>
      </c>
      <c r="C113" s="22" t="inlineStr">
        <is>
          <t>s</t>
        </is>
      </c>
      <c r="D113" s="26">
        <f>IF($D$111&lt;=0,999,$D$22*$D$55*$D$12*($D$14-$D$61)/($D$111*1000))</f>
        <v/>
      </c>
      <c r="E113" s="24" t="inlineStr">
        <is>
          <t>cm</t>
        </is>
      </c>
    </row>
    <row r="114">
      <c r="B114" s="4" t="inlineStr">
        <is>
          <t>Confinamiento</t>
        </is>
      </c>
    </row>
    <row r="115" ht="24" customHeight="1">
      <c r="B115" s="9" t="inlineStr">
        <is>
          <t>Núcleo bc perpendicular a las ramas paralelas a H</t>
        </is>
      </c>
      <c r="C115" s="22" t="inlineStr">
        <is>
          <t>bc</t>
        </is>
      </c>
      <c r="D115" s="34">
        <f>$D$14-2*$D$16</f>
        <v/>
      </c>
      <c r="E115" s="24" t="inlineStr">
        <is>
          <t>cm</t>
        </is>
      </c>
    </row>
    <row r="116" ht="24" customHeight="1">
      <c r="B116" s="9" t="inlineStr">
        <is>
          <t>Núcleo bc perpendicular a las ramas paralelas a B</t>
        </is>
      </c>
      <c r="C116" s="22" t="inlineStr">
        <is>
          <t>bc</t>
        </is>
      </c>
      <c r="D116" s="34">
        <f>$D$15-2*$D$16</f>
        <v/>
      </c>
      <c r="E116" s="24" t="inlineStr">
        <is>
          <t>cm</t>
        </is>
      </c>
    </row>
    <row r="117" ht="13.5" customHeight="1">
      <c r="B117" s="9" t="inlineStr">
        <is>
          <t>Área del núcleo</t>
        </is>
      </c>
      <c r="C117" s="22" t="inlineStr">
        <is>
          <t>Ach</t>
        </is>
      </c>
      <c r="D117" s="28">
        <f>$D$115*$D$116</f>
        <v/>
      </c>
      <c r="E117" s="24" t="inlineStr">
        <is>
          <t>cm²</t>
        </is>
      </c>
    </row>
    <row r="118" ht="24" customHeight="1">
      <c r="B118" s="9" t="inlineStr">
        <is>
          <t>Espaciamiento máximo por Ash (solo pórticos, 21.6.4.1)</t>
        </is>
      </c>
      <c r="C118" s="22" t="inlineStr">
        <is>
          <t>s</t>
        </is>
      </c>
      <c r="D118" s="26">
        <f>IF($D$13="Pórticos o dual tipo II",MIN($D$21*$D$55/MAX(0.3*$D$115*$D$11/$D$12*($D$58/$D$117-1),0.09*$D$115*$D$11/$D$12),$D$22*$D$55/MAX(0.3*$D$116*$D$11/$D$12*($D$58/$D$117-1),0.09*$D$116*$D$11/$D$12)),999)</f>
        <v/>
      </c>
      <c r="E118" s="24" t="inlineStr">
        <is>
          <t>cm</t>
        </is>
      </c>
      <c r="F118" s="27" t="inlineStr">
        <is>
          <t>Ash ≥ 0.3·s·bc·f'c/fy·(Ag/Ach − 1) y ≥ 0.09·s·bc·f'c/fy</t>
        </is>
      </c>
    </row>
    <row r="119" ht="24" customHeight="1">
      <c r="B119" s="9" t="inlineStr">
        <is>
          <t>Espaciamiento en Lo</t>
        </is>
      </c>
      <c r="C119" s="22" t="inlineStr">
        <is>
          <t>So</t>
        </is>
      </c>
      <c r="D119" s="26">
        <f>FLOOR(MIN(IF($D$13="Pórticos o dual tipo II",MIN($D$14,$D$15)/3,MIN($D$14,$D$15)/2),IF($D$13="Pórticos o dual tipo II",6,8)*$D$52,10,$D$118,$D$113,$D$106),2.5)</f>
        <v/>
      </c>
      <c r="E119" s="24" t="inlineStr">
        <is>
          <t>cm</t>
        </is>
      </c>
      <c r="F119" s="27" t="inlineStr">
        <is>
          <t>Pórticos: b/3, 6db, 10 cm (21.6.4.2) · Muros: 8db, b/2, 10 cm (21.4.5.3)</t>
        </is>
      </c>
    </row>
    <row r="120" ht="24" customHeight="1">
      <c r="B120" s="9" t="inlineStr">
        <is>
          <t>So ≥ 5 cm (constructivo)</t>
        </is>
      </c>
      <c r="C120" s="29">
        <f>IF($D$119&gt;=5,"CUMPLE","NO CUMPLE")</f>
        <v/>
      </c>
      <c r="D120" s="30" t="n"/>
      <c r="E120" s="30" t="n"/>
      <c r="F120" s="27" t="inlineStr">
        <is>
          <t>Si no cumple: más ramas o estribo de mayor diámetro</t>
        </is>
      </c>
    </row>
    <row r="121" ht="13.5" customHeight="1">
      <c r="B121" s="9" t="inlineStr">
        <is>
          <t>Longitud de confinamiento Lo</t>
        </is>
      </c>
      <c r="C121" s="22" t="inlineStr">
        <is>
          <t>Lo</t>
        </is>
      </c>
      <c r="D121" s="28">
        <f>MAX($D$24*100/6,MAX($D$14,$D$15),50)</f>
        <v/>
      </c>
      <c r="E121" s="24" t="inlineStr">
        <is>
          <t>cm</t>
        </is>
      </c>
      <c r="F121" s="27" t="inlineStr">
        <is>
          <t>ln/6, lado mayor, 50 cm</t>
        </is>
      </c>
    </row>
    <row r="122" ht="13.5" customHeight="1">
      <c r="B122" s="9" t="inlineStr">
        <is>
          <t>Estribos en Lo (primero a So/2 ≤ 5 cm)</t>
        </is>
      </c>
      <c r="C122" s="22" t="inlineStr">
        <is>
          <t>n</t>
        </is>
      </c>
      <c r="D122" s="28">
        <f>CEILING(($D$121-MIN(5,$D$119/2))/$D$119,1)+1</f>
        <v/>
      </c>
      <c r="E122" s="24" t="inlineStr"/>
    </row>
    <row r="123" ht="13.5" customHeight="1">
      <c r="B123" s="9" t="inlineStr">
        <is>
          <t>Límite d/2 si Vu &gt; 0.5·φVc (11.5.5.1)</t>
        </is>
      </c>
      <c r="C123" s="22" t="inlineStr">
        <is>
          <t>s</t>
        </is>
      </c>
      <c r="D123" s="26">
        <f>MIN(IF($D$102&gt;0.5*0.85*$D$103,($D$15-$D$61)/2,999),IF($D$109&gt;0.5*0.85*$D$110,($D$14-$D$61)/2,999))</f>
        <v/>
      </c>
      <c r="E123" s="24" t="inlineStr">
        <is>
          <t>cm</t>
        </is>
      </c>
    </row>
    <row r="124" ht="24" customHeight="1">
      <c r="B124" s="9" t="inlineStr">
        <is>
          <t>Espaciamiento fuera de Lo</t>
        </is>
      </c>
      <c r="C124" s="22" t="inlineStr">
        <is>
          <t>s</t>
        </is>
      </c>
      <c r="D124" s="26">
        <f>FLOOR(MIN(IF($D$13="Pórticos o dual tipo II",MIN(10*$D$52,25),MIN(30,16*$D$52,48*$D$54,MIN($D$14,$D$15))),$D$113,$D$106,$D$123),2.5)</f>
        <v/>
      </c>
      <c r="E124" s="24" t="inlineStr">
        <is>
          <t>cm</t>
        </is>
      </c>
      <c r="F124" s="27" t="inlineStr">
        <is>
          <t>Pórticos: 10db, 25 cm (21.6.4.5) · Muros: 30 cm (21.4.5.4) · d/2</t>
        </is>
      </c>
    </row>
    <row r="125" ht="13.5" customHeight="1">
      <c r="B125" s="9" t="inlineStr">
        <is>
          <t>Av ≥ Av mín en ambas direcciones (11.5.6.3)</t>
        </is>
      </c>
      <c r="C125" s="29">
        <f>IF(AND($D$21*$D$55&gt;=MAX(0.2*SQRT($D$11),3.5)*$D$14*$D$124/$D$12,$D$22*$D$55&gt;=MAX(0.2*SQRT($D$11),3.5)*$D$15*$D$124/$D$12),"CUMPLE","NO CUMPLE")</f>
        <v/>
      </c>
      <c r="D125" s="30" t="n"/>
      <c r="E125" s="30" t="n"/>
    </row>
    <row r="126" ht="13.5" customHeight="1">
      <c r="B126" s="9" t="inlineStr">
        <is>
          <t>ESTRIBOS (en cada extremo)</t>
        </is>
      </c>
      <c r="C126" s="22" t="inlineStr"/>
      <c r="D126" s="44">
        <f>"□ Ø "&amp;$D$20&amp;": 1 @ "&amp;FIXED(MIN(5,$D$119/2)/100,IF(MOD(ROUND(MIN(5,$D$119/2)*10,0),50)=0,2,3))&amp;", "&amp;$D$122-1&amp;" @ "&amp;FIXED($D$119/100,IF(MOD(ROUND($D$119*10,0),50)=0,2,3))&amp;", resto @ "&amp;FIXED($D$124/100,IF(MOD(ROUND($D$124*10,0),50)=0,2,3))&amp;" m"</f>
        <v/>
      </c>
      <c r="E126" s="30" t="n"/>
      <c r="F126" s="30" t="n"/>
      <c r="G126" s="30" t="n"/>
      <c r="H126" s="30" t="n"/>
    </row>
    <row r="127" ht="13.5" customHeight="1">
      <c r="B127" s="9" t="inlineStr">
        <is>
          <t>Separación máxima entre ramas hx</t>
        </is>
      </c>
      <c r="C127" s="22" t="inlineStr">
        <is>
          <t>hx</t>
        </is>
      </c>
      <c r="D127" s="26">
        <f>MAX(($D$14-2*$D$16-$D$54)/MAX(1,$D$21-1),($D$15-2*$D$16-$D$54)/MAX(1,$D$22-1))</f>
        <v/>
      </c>
      <c r="E127" s="24" t="inlineStr">
        <is>
          <t>cm</t>
        </is>
      </c>
      <c r="F127" s="27" t="inlineStr">
        <is>
          <t>21.6.4.3: hx ≤ 35 cm (pórticos)</t>
        </is>
      </c>
    </row>
    <row r="128" ht="13.5" customHeight="1">
      <c r="B128" s="9" t="inlineStr">
        <is>
          <t>hx ≤ 35 cm</t>
        </is>
      </c>
      <c r="C128" s="29">
        <f>IF(OR(NOT($D$13="Pórticos o dual tipo II"),$D$127&lt;=35),"CUMPLE","NO CUMPLE")</f>
        <v/>
      </c>
      <c r="D128" s="30" t="n"/>
      <c r="E128" s="30" t="n"/>
      <c r="F128" s="27" t="inlineStr">
        <is>
          <t>Si no cumple: agregue grapas</t>
        </is>
      </c>
    </row>
    <row r="129">
      <c r="B129" s="4" t="inlineStr">
        <is>
          <t>Columna fuerte – viga débil (21.6.2.2)</t>
        </is>
      </c>
    </row>
    <row r="130" ht="24" customHeight="1">
      <c r="B130" s="9" t="inlineStr">
        <is>
          <t>Mn mínimo de la columna en X para las Pu de diseño</t>
        </is>
      </c>
      <c r="C130" s="22" t="inlineStr">
        <is>
          <t>Mnc</t>
        </is>
      </c>
      <c r="D130" s="34">
        <f>MIN(BU40:BU48)</f>
        <v/>
      </c>
      <c r="E130" s="24" t="inlineStr">
        <is>
          <t>t·m</t>
        </is>
      </c>
      <c r="F130" s="27" t="inlineStr">
        <is>
          <t>Columna superior igual a esta</t>
        </is>
      </c>
    </row>
    <row r="131" ht="13.5" customHeight="1">
      <c r="B131" s="9" t="inlineStr">
        <is>
          <t>Mn mínimo de la columna en Y</t>
        </is>
      </c>
      <c r="C131" s="22" t="inlineStr">
        <is>
          <t>Mnc</t>
        </is>
      </c>
      <c r="D131" s="34">
        <f>MIN(BV40:BV48)</f>
        <v/>
      </c>
      <c r="E131" s="24" t="inlineStr">
        <is>
          <t>t·m</t>
        </is>
      </c>
    </row>
    <row r="132" ht="24" customHeight="1">
      <c r="B132" s="9" t="inlineStr">
        <is>
          <t>ΣMnc = 2·Mnc ≥ 1.2·ΣMnv en X e Y</t>
        </is>
      </c>
      <c r="C132" s="29">
        <f>IF(OR(NOT($D$13="Pórticos o dual tipo II"),AND(2*$D$130&gt;=1.2*$D$31,2*$D$131&gt;=1.2*$D$32)),"CUMPLE","NO CUMPLE")</f>
        <v/>
      </c>
      <c r="D132" s="30" t="n"/>
      <c r="E132" s="30" t="n"/>
      <c r="F132" s="27" t="inlineStr">
        <is>
          <t>Si no cumple: confine toda la altura (21.6.2.3) o aumente la columna</t>
        </is>
      </c>
    </row>
    <row r="133" ht="13.5" customHeight="1">
      <c r="B133" s="9" t="inlineStr">
        <is>
          <t>Estribos en el nudo</t>
        </is>
      </c>
      <c r="C133" s="22" t="inlineStr"/>
      <c r="D133" s="44">
        <f>IF($D$13="Pórticos o dual tipo II","Ash/2 a s ≤ 15 cm (21.7.3)","s ≤ 15 cm (21.4.5.5)")</f>
        <v/>
      </c>
      <c r="E133" s="30" t="n"/>
      <c r="F133" s="30" t="n"/>
      <c r="G133" s="30" t="n"/>
      <c r="H133" s="30" t="n"/>
    </row>
    <row r="135" ht="17" customHeight="1">
      <c r="B135" s="21" t="inlineStr">
        <is>
          <t>6. RESUMEN</t>
        </is>
      </c>
    </row>
    <row r="136" ht="13.5" customHeight="1">
      <c r="B136" s="9" t="inlineStr">
        <is>
          <t>Sección y armadura</t>
        </is>
      </c>
      <c r="C136" s="22" t="inlineStr"/>
      <c r="D136" s="44">
        <f>FIXED($D$14,0)&amp;" × "&amp;FIXED($D$15,0)&amp;" cm · "&amp;$D$56&amp;" Ø "&amp;$D$17&amp;" (ρ = "&amp;FIXED($D$59*100,2)&amp;" %)"</f>
        <v/>
      </c>
      <c r="E136" s="30" t="n"/>
      <c r="F136" s="30" t="n"/>
      <c r="G136" s="30" t="n"/>
      <c r="H136" s="30" t="n"/>
    </row>
    <row r="137" ht="13.5" customHeight="1">
      <c r="B137" s="9" t="inlineStr">
        <is>
          <t>Estribos</t>
        </is>
      </c>
      <c r="C137" s="22" t="inlineStr"/>
      <c r="D137" s="44">
        <f>$D$126</f>
        <v/>
      </c>
      <c r="E137" s="30" t="n"/>
      <c r="F137" s="30" t="n"/>
      <c r="G137" s="30" t="n"/>
      <c r="H137" s="30" t="n"/>
    </row>
    <row r="138" ht="13.5" customHeight="1">
      <c r="B138" s="9" t="inlineStr">
        <is>
          <t>ESTADO GENERAL DEL DISEÑO</t>
        </is>
      </c>
      <c r="C138" s="29">
        <f>IF(AND($C$60="CUMPLE",$C$64="CUMPLE",$C$65="CUMPLE",$C$85="CUMPLE",$C$87="CUMPLE",$C$93="CUMPLE",$C$105="CUMPLE",$C$112="CUMPLE",$C$120="CUMPLE",$C$125="CUMPLE",$C$128="CUMPLE",$C$132="CUMPLE"),"CUMPLE","NO CUMPLE")</f>
        <v/>
      </c>
      <c r="D138" s="30" t="n"/>
      <c r="E138" s="30" t="n"/>
      <c r="F138" s="27" t="inlineStr">
        <is>
          <t>Revise las líneas en rojo</t>
        </is>
      </c>
    </row>
    <row r="140" ht="17" customHeight="1">
      <c r="B140" s="21" t="inlineStr">
        <is>
          <t>7. DIAGRAMAS DE INTERACCIÓN (puntos rojos: combinaciones)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76">
    <mergeCell ref="C112:E112"/>
    <mergeCell ref="F36:H36"/>
    <mergeCell ref="F80:H80"/>
    <mergeCell ref="F18:H18"/>
    <mergeCell ref="C93:E93"/>
    <mergeCell ref="B49:H49"/>
    <mergeCell ref="F110:H110"/>
    <mergeCell ref="B83:H83"/>
    <mergeCell ref="F85:H85"/>
    <mergeCell ref="F138:H138"/>
    <mergeCell ref="D90:H90"/>
    <mergeCell ref="F26:H26"/>
    <mergeCell ref="B95:H95"/>
    <mergeCell ref="C105:E105"/>
    <mergeCell ref="B51:H51"/>
    <mergeCell ref="F109:H109"/>
    <mergeCell ref="B89:H89"/>
    <mergeCell ref="C60:E60"/>
    <mergeCell ref="F121:H121"/>
    <mergeCell ref="C138:E138"/>
    <mergeCell ref="F22:H22"/>
    <mergeCell ref="F28:H28"/>
    <mergeCell ref="C120:E120"/>
    <mergeCell ref="C132:E132"/>
    <mergeCell ref="F31:H31"/>
    <mergeCell ref="B135:H135"/>
    <mergeCell ref="F102:H102"/>
    <mergeCell ref="F71:H71"/>
    <mergeCell ref="D13:H13"/>
    <mergeCell ref="F93:H93"/>
    <mergeCell ref="F105:H105"/>
    <mergeCell ref="F96:H96"/>
    <mergeCell ref="D136:H136"/>
    <mergeCell ref="F92:H92"/>
    <mergeCell ref="F130:H130"/>
    <mergeCell ref="F77:H77"/>
    <mergeCell ref="C7:H7"/>
    <mergeCell ref="C125:E125"/>
    <mergeCell ref="D126:H126"/>
    <mergeCell ref="D91:H91"/>
    <mergeCell ref="F120:H120"/>
    <mergeCell ref="F60:H60"/>
    <mergeCell ref="B140:H140"/>
    <mergeCell ref="F132:H132"/>
    <mergeCell ref="C87:E87"/>
    <mergeCell ref="B2:H2"/>
    <mergeCell ref="F73:H73"/>
    <mergeCell ref="F119:H119"/>
    <mergeCell ref="F64:H64"/>
    <mergeCell ref="C3:H3"/>
    <mergeCell ref="D137:H137"/>
    <mergeCell ref="F29:H29"/>
    <mergeCell ref="F87:H87"/>
    <mergeCell ref="F25:H25"/>
    <mergeCell ref="F34:H34"/>
    <mergeCell ref="F103:H103"/>
    <mergeCell ref="C6:H6"/>
    <mergeCell ref="F16:H16"/>
    <mergeCell ref="F112:H112"/>
    <mergeCell ref="F68:H68"/>
    <mergeCell ref="F19:H19"/>
    <mergeCell ref="B1:H1"/>
    <mergeCell ref="F128:H128"/>
    <mergeCell ref="C5:H5"/>
    <mergeCell ref="B82:H82"/>
    <mergeCell ref="F118:H118"/>
    <mergeCell ref="F124:H124"/>
    <mergeCell ref="D133:H133"/>
    <mergeCell ref="F127:H127"/>
    <mergeCell ref="C64:E64"/>
    <mergeCell ref="C4:H4"/>
    <mergeCell ref="B10:H10"/>
    <mergeCell ref="C128:E128"/>
    <mergeCell ref="F86:H86"/>
    <mergeCell ref="C65:E65"/>
    <mergeCell ref="C85:E85"/>
  </mergeCells>
  <conditionalFormatting sqref="B1:H180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4">
    <dataValidation sqref="D13" showDropDown="0" showInputMessage="0" showErrorMessage="0" allowBlank="0" errorTitle="Valor no válido" error="Elija un valor de la lista" type="list">
      <formula1>"Pórticos o dual tipo II,Muros estructurales o dual tipo I"</formula1>
    </dataValidation>
    <dataValidation sqref="D17 D20" showDropDown="0" showInputMessage="0" showErrorMessage="0" allowBlank="0" errorTitle="Valor no válido" error="Elija un valor de la lista" type="list">
      <formula1>=BAR_NOM</formula1>
    </dataValidation>
    <dataValidation sqref="D18 D19" showDropDown="0" showInputMessage="0" showErrorMessage="0" allowBlank="0" errorTitle="Valor no válido" error="Elija un valor de la lista" type="list">
      <formula1>"2,3,4,5,6,7,8,9,10"</formula1>
    </dataValidation>
    <dataValidation sqref="D26" showDropDown="0" showInputMessage="0" showErrorMessage="0" allowBlank="0" errorTitle="Valor no válido" error="Elija un valor de la lista" type="list">
      <formula1>"Sí,No"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139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BC99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</cols>
  <sheetData>
    <row r="1" ht="24" customHeight="1">
      <c r="B1" s="14" t="inlineStr">
        <is>
          <t>DISEÑO DE PLACA (MURO ESTRUCTURAL) · NTE E.060 11.10 Y 21.9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Placa PL-1, 1er piso, eje 1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AD6" s="45" t="inlineStr">
        <is>
          <t>Capas (no imprimir)</t>
        </is>
      </c>
      <c r="AE6" s="45" t="n"/>
      <c r="AF6" s="45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AD7" s="45" t="n"/>
      <c r="AE7" s="45" t="n"/>
      <c r="AF7" s="45" t="n"/>
      <c r="AH7" s="3" t="inlineStr">
        <is>
          <t>Diagrama (no imprimir)</t>
        </is>
      </c>
    </row>
    <row r="8">
      <c r="AD8" s="45" t="n">
        <v>1</v>
      </c>
      <c r="AE8" s="45">
        <f>$D$43</f>
        <v/>
      </c>
      <c r="AF8" s="45">
        <f>$D$26/2*$D$39</f>
        <v/>
      </c>
      <c r="AH8" s="46" t="inlineStr">
        <is>
          <t>c (cm)</t>
        </is>
      </c>
      <c r="AI8" s="46" t="inlineStr">
        <is>
          <t>a (cm)</t>
        </is>
      </c>
      <c r="AJ8" s="46" t="inlineStr">
        <is>
          <t>Pn (t)</t>
        </is>
      </c>
      <c r="AK8" s="46" t="inlineStr">
        <is>
          <t>Mn (t·m)</t>
        </is>
      </c>
      <c r="AL8" s="46" t="inlineStr">
        <is>
          <t>φ</t>
        </is>
      </c>
      <c r="AM8" s="46" t="inlineStr">
        <is>
          <t>φPn (t)</t>
        </is>
      </c>
      <c r="AN8" s="46" t="inlineStr">
        <is>
          <t>φMn (t·m)</t>
        </is>
      </c>
      <c r="AO8" s="46" t="inlineStr">
        <is>
          <t>−e (m)</t>
        </is>
      </c>
      <c r="AP8" s="46" t="inlineStr">
        <is>
          <t>φPn sin tope</t>
        </is>
      </c>
      <c r="BB8" s="45">
        <f>$D$20</f>
        <v/>
      </c>
      <c r="BC8" s="45">
        <f>$D$19</f>
        <v/>
      </c>
    </row>
    <row r="9">
      <c r="AD9" s="45" t="n">
        <v>2</v>
      </c>
      <c r="AE9" s="45">
        <f>$D$25-$D$43</f>
        <v/>
      </c>
      <c r="AF9" s="45">
        <f>$D$26/2*$D$39</f>
        <v/>
      </c>
      <c r="AH9" s="46" t="n">
        <v>0</v>
      </c>
      <c r="AI9" s="46" t="n">
        <v>0</v>
      </c>
      <c r="AJ9" s="46">
        <f>-$D$12*$D$47/1000</f>
        <v/>
      </c>
      <c r="AK9" s="46" t="n">
        <v>0</v>
      </c>
      <c r="AL9" s="46" t="n">
        <v>0.9</v>
      </c>
      <c r="AM9" s="46">
        <f>AL9*AJ9</f>
        <v/>
      </c>
      <c r="AN9" s="46" t="n">
        <v>0</v>
      </c>
      <c r="AO9" s="46" t="n">
        <v>-1000000000</v>
      </c>
      <c r="AP9" s="46">
        <f>AM9</f>
        <v/>
      </c>
    </row>
    <row r="10" ht="17" customHeight="1">
      <c r="B10" s="21" t="inlineStr">
        <is>
          <t>1. DATOS DE ENTRADA</t>
        </is>
      </c>
      <c r="AD10" s="45" t="n">
        <v>3</v>
      </c>
      <c r="AE10" s="45">
        <f>IF(1&lt;=$D$46,$D$25+$D$44*1/($D$46+1),0)</f>
        <v/>
      </c>
      <c r="AF10" s="45">
        <f>IF(1&lt;=$D$46,$D$45*$D$32*$D$40/$D$46,0)</f>
        <v/>
      </c>
      <c r="AH10" s="46">
        <f>0.02*$D$36</f>
        <v/>
      </c>
      <c r="AI10" s="46">
        <f>MIN($D$49*AH10,$D$36)</f>
        <v/>
      </c>
      <c r="AJ10" s="46">
        <f>(0.85*$D$11*AI10*$D$14+SUMPRODUCT($AF$8:$AF$37,(ABS(6000*(1-$AE$8:$AE$37/AH10)+$D$12)-ABS(6000*(1-$AE$8:$AE$37/AH10)-$D$12))/2-0.85*$D$11*($AE$8:$AE$37&lt;AI10)))/1000</f>
        <v/>
      </c>
      <c r="AK10" s="46">
        <f>(0.85*$D$11*AI10*$D$14*($D$36/2-AI10/2)+SUMPRODUCT($AF$8:$AF$37,(ABS(6000*(1-$AE$8:$AE$37/AH10)+$D$12)-ABS(6000*(1-$AE$8:$AE$37/AH10)-$D$12))/2-0.85*$D$11*($AE$8:$AE$37&lt;AI10),$D$36/2-$AE$8:$AE$37))/100000</f>
        <v/>
      </c>
      <c r="AL10" s="46">
        <f>IF(AJ10&lt;=0,0.9,MAX(0.7,0.9/(1+0.2*AJ10/$D$54)))</f>
        <v/>
      </c>
      <c r="AM10" s="46">
        <f>MIN(AL10*AJ10,$D$51)</f>
        <v/>
      </c>
      <c r="AN10" s="46">
        <f>MAX(0,AL10*AK10)</f>
        <v/>
      </c>
      <c r="AO10" s="46">
        <f>IF(AP10&gt;0,-AN10/AP10,-1E+9)</f>
        <v/>
      </c>
      <c r="AP10" s="46">
        <f>AL10*AJ10</f>
        <v/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AD11" s="45" t="n">
        <v>4</v>
      </c>
      <c r="AE11" s="45">
        <f>IF(2&lt;=$D$46,$D$25+$D$44*2/($D$46+1),0)</f>
        <v/>
      </c>
      <c r="AF11" s="45">
        <f>IF(2&lt;=$D$46,$D$45*$D$32*$D$40/$D$46,0)</f>
        <v/>
      </c>
      <c r="AH11" s="46">
        <f>0.04*$D$36</f>
        <v/>
      </c>
      <c r="AI11" s="46">
        <f>MIN($D$49*AH11,$D$36)</f>
        <v/>
      </c>
      <c r="AJ11" s="46">
        <f>(0.85*$D$11*AI11*$D$14+SUMPRODUCT($AF$8:$AF$37,(ABS(6000*(1-$AE$8:$AE$37/AH11)+$D$12)-ABS(6000*(1-$AE$8:$AE$37/AH11)-$D$12))/2-0.85*$D$11*($AE$8:$AE$37&lt;AI11)))/1000</f>
        <v/>
      </c>
      <c r="AK11" s="46">
        <f>(0.85*$D$11*AI11*$D$14*($D$36/2-AI11/2)+SUMPRODUCT($AF$8:$AF$37,(ABS(6000*(1-$AE$8:$AE$37/AH11)+$D$12)-ABS(6000*(1-$AE$8:$AE$37/AH11)-$D$12))/2-0.85*$D$11*($AE$8:$AE$37&lt;AI11),$D$36/2-$AE$8:$AE$37))/100000</f>
        <v/>
      </c>
      <c r="AL11" s="46">
        <f>IF(AJ11&lt;=0,0.9,MAX(0.7,0.9/(1+0.2*AJ11/$D$54)))</f>
        <v/>
      </c>
      <c r="AM11" s="46">
        <f>MIN(AL11*AJ11,$D$51)</f>
        <v/>
      </c>
      <c r="AN11" s="46">
        <f>MAX(0,AL11*AK11)</f>
        <v/>
      </c>
      <c r="AO11" s="46">
        <f>IF(AP11&gt;0,-AN11/AP11,-1E+9)</f>
        <v/>
      </c>
      <c r="AP11" s="46">
        <f>AL11*AJ11</f>
        <v/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  <c r="AD12" s="45" t="n">
        <v>5</v>
      </c>
      <c r="AE12" s="45">
        <f>IF(3&lt;=$D$46,$D$25+$D$44*3/($D$46+1),0)</f>
        <v/>
      </c>
      <c r="AF12" s="45">
        <f>IF(3&lt;=$D$46,$D$45*$D$32*$D$40/$D$46,0)</f>
        <v/>
      </c>
      <c r="AH12" s="46">
        <f>0.06*$D$36</f>
        <v/>
      </c>
      <c r="AI12" s="46">
        <f>MIN($D$49*AH12,$D$36)</f>
        <v/>
      </c>
      <c r="AJ12" s="46">
        <f>(0.85*$D$11*AI12*$D$14+SUMPRODUCT($AF$8:$AF$37,(ABS(6000*(1-$AE$8:$AE$37/AH12)+$D$12)-ABS(6000*(1-$AE$8:$AE$37/AH12)-$D$12))/2-0.85*$D$11*($AE$8:$AE$37&lt;AI12)))/1000</f>
        <v/>
      </c>
      <c r="AK12" s="46">
        <f>(0.85*$D$11*AI12*$D$14*($D$36/2-AI12/2)+SUMPRODUCT($AF$8:$AF$37,(ABS(6000*(1-$AE$8:$AE$37/AH12)+$D$12)-ABS(6000*(1-$AE$8:$AE$37/AH12)-$D$12))/2-0.85*$D$11*($AE$8:$AE$37&lt;AI12),$D$36/2-$AE$8:$AE$37))/100000</f>
        <v/>
      </c>
      <c r="AL12" s="46">
        <f>IF(AJ12&lt;=0,0.9,MAX(0.7,0.9/(1+0.2*AJ12/$D$54)))</f>
        <v/>
      </c>
      <c r="AM12" s="46">
        <f>MIN(AL12*AJ12,$D$51)</f>
        <v/>
      </c>
      <c r="AN12" s="46">
        <f>MAX(0,AL12*AK12)</f>
        <v/>
      </c>
      <c r="AO12" s="46">
        <f>IF(AP12&gt;0,-AN12/AP12,-1E+9)</f>
        <v/>
      </c>
      <c r="AP12" s="46">
        <f>AL12*AJ12</f>
        <v/>
      </c>
    </row>
    <row r="13" ht="13.5" customHeight="1">
      <c r="B13" s="9" t="inlineStr">
        <is>
          <t>Longitud del muro</t>
        </is>
      </c>
      <c r="C13" s="22" t="inlineStr">
        <is>
          <t>lm</t>
        </is>
      </c>
      <c r="D13" s="25" t="n">
        <v>3</v>
      </c>
      <c r="E13" s="24" t="inlineStr">
        <is>
          <t>m</t>
        </is>
      </c>
      <c r="AD13" s="45" t="n">
        <v>6</v>
      </c>
      <c r="AE13" s="45">
        <f>IF(4&lt;=$D$46,$D$25+$D$44*4/($D$46+1),0)</f>
        <v/>
      </c>
      <c r="AF13" s="45">
        <f>IF(4&lt;=$D$46,$D$45*$D$32*$D$40/$D$46,0)</f>
        <v/>
      </c>
      <c r="AH13" s="46">
        <f>0.08*$D$36</f>
        <v/>
      </c>
      <c r="AI13" s="46">
        <f>MIN($D$49*AH13,$D$36)</f>
        <v/>
      </c>
      <c r="AJ13" s="46">
        <f>(0.85*$D$11*AI13*$D$14+SUMPRODUCT($AF$8:$AF$37,(ABS(6000*(1-$AE$8:$AE$37/AH13)+$D$12)-ABS(6000*(1-$AE$8:$AE$37/AH13)-$D$12))/2-0.85*$D$11*($AE$8:$AE$37&lt;AI13)))/1000</f>
        <v/>
      </c>
      <c r="AK13" s="46">
        <f>(0.85*$D$11*AI13*$D$14*($D$36/2-AI13/2)+SUMPRODUCT($AF$8:$AF$37,(ABS(6000*(1-$AE$8:$AE$37/AH13)+$D$12)-ABS(6000*(1-$AE$8:$AE$37/AH13)-$D$12))/2-0.85*$D$11*($AE$8:$AE$37&lt;AI13),$D$36/2-$AE$8:$AE$37))/100000</f>
        <v/>
      </c>
      <c r="AL13" s="46">
        <f>IF(AJ13&lt;=0,0.9,MAX(0.7,0.9/(1+0.2*AJ13/$D$54)))</f>
        <v/>
      </c>
      <c r="AM13" s="46">
        <f>MIN(AL13*AJ13,$D$51)</f>
        <v/>
      </c>
      <c r="AN13" s="46">
        <f>MAX(0,AL13*AK13)</f>
        <v/>
      </c>
      <c r="AO13" s="46">
        <f>IF(AP13&gt;0,-AN13/AP13,-1E+9)</f>
        <v/>
      </c>
      <c r="AP13" s="46">
        <f>AL13*AJ13</f>
        <v/>
      </c>
    </row>
    <row r="14" ht="13.5" customHeight="1">
      <c r="B14" s="9" t="inlineStr">
        <is>
          <t>Espesor del muro</t>
        </is>
      </c>
      <c r="C14" s="22" t="inlineStr">
        <is>
          <t>t</t>
        </is>
      </c>
      <c r="D14" s="35" t="n">
        <v>25</v>
      </c>
      <c r="E14" s="24" t="inlineStr">
        <is>
          <t>cm</t>
        </is>
      </c>
      <c r="AD14" s="45" t="n">
        <v>7</v>
      </c>
      <c r="AE14" s="45">
        <f>IF(5&lt;=$D$46,$D$25+$D$44*5/($D$46+1),0)</f>
        <v/>
      </c>
      <c r="AF14" s="45">
        <f>IF(5&lt;=$D$46,$D$45*$D$32*$D$40/$D$46,0)</f>
        <v/>
      </c>
      <c r="AH14" s="46">
        <f>0.1*$D$36</f>
        <v/>
      </c>
      <c r="AI14" s="46">
        <f>MIN($D$49*AH14,$D$36)</f>
        <v/>
      </c>
      <c r="AJ14" s="46">
        <f>(0.85*$D$11*AI14*$D$14+SUMPRODUCT($AF$8:$AF$37,(ABS(6000*(1-$AE$8:$AE$37/AH14)+$D$12)-ABS(6000*(1-$AE$8:$AE$37/AH14)-$D$12))/2-0.85*$D$11*($AE$8:$AE$37&lt;AI14)))/1000</f>
        <v/>
      </c>
      <c r="AK14" s="46">
        <f>(0.85*$D$11*AI14*$D$14*($D$36/2-AI14/2)+SUMPRODUCT($AF$8:$AF$37,(ABS(6000*(1-$AE$8:$AE$37/AH14)+$D$12)-ABS(6000*(1-$AE$8:$AE$37/AH14)-$D$12))/2-0.85*$D$11*($AE$8:$AE$37&lt;AI14),$D$36/2-$AE$8:$AE$37))/100000</f>
        <v/>
      </c>
      <c r="AL14" s="46">
        <f>IF(AJ14&lt;=0,0.9,MAX(0.7,0.9/(1+0.2*AJ14/$D$54)))</f>
        <v/>
      </c>
      <c r="AM14" s="46">
        <f>MIN(AL14*AJ14,$D$51)</f>
        <v/>
      </c>
      <c r="AN14" s="46">
        <f>MAX(0,AL14*AK14)</f>
        <v/>
      </c>
      <c r="AO14" s="46">
        <f>IF(AP14&gt;0,-AN14/AP14,-1E+9)</f>
        <v/>
      </c>
      <c r="AP14" s="46">
        <f>AL14*AJ14</f>
        <v/>
      </c>
    </row>
    <row r="15" ht="13.5" customHeight="1">
      <c r="B15" s="9" t="inlineStr">
        <is>
          <t>Altura total del muro</t>
        </is>
      </c>
      <c r="C15" s="22" t="inlineStr">
        <is>
          <t>hm</t>
        </is>
      </c>
      <c r="D15" s="25" t="n">
        <v>12</v>
      </c>
      <c r="E15" s="24" t="inlineStr">
        <is>
          <t>m</t>
        </is>
      </c>
      <c r="AD15" s="45" t="n">
        <v>8</v>
      </c>
      <c r="AE15" s="45">
        <f>IF(6&lt;=$D$46,$D$25+$D$44*6/($D$46+1),0)</f>
        <v/>
      </c>
      <c r="AF15" s="45">
        <f>IF(6&lt;=$D$46,$D$45*$D$32*$D$40/$D$46,0)</f>
        <v/>
      </c>
      <c r="AH15" s="46">
        <f>0.13*$D$36</f>
        <v/>
      </c>
      <c r="AI15" s="46">
        <f>MIN($D$49*AH15,$D$36)</f>
        <v/>
      </c>
      <c r="AJ15" s="46">
        <f>(0.85*$D$11*AI15*$D$14+SUMPRODUCT($AF$8:$AF$37,(ABS(6000*(1-$AE$8:$AE$37/AH15)+$D$12)-ABS(6000*(1-$AE$8:$AE$37/AH15)-$D$12))/2-0.85*$D$11*($AE$8:$AE$37&lt;AI15)))/1000</f>
        <v/>
      </c>
      <c r="AK15" s="46">
        <f>(0.85*$D$11*AI15*$D$14*($D$36/2-AI15/2)+SUMPRODUCT($AF$8:$AF$37,(ABS(6000*(1-$AE$8:$AE$37/AH15)+$D$12)-ABS(6000*(1-$AE$8:$AE$37/AH15)-$D$12))/2-0.85*$D$11*($AE$8:$AE$37&lt;AI15),$D$36/2-$AE$8:$AE$37))/100000</f>
        <v/>
      </c>
      <c r="AL15" s="46">
        <f>IF(AJ15&lt;=0,0.9,MAX(0.7,0.9/(1+0.2*AJ15/$D$54)))</f>
        <v/>
      </c>
      <c r="AM15" s="46">
        <f>MIN(AL15*AJ15,$D$51)</f>
        <v/>
      </c>
      <c r="AN15" s="46">
        <f>MAX(0,AL15*AK15)</f>
        <v/>
      </c>
      <c r="AO15" s="46">
        <f>IF(AP15&gt;0,-AN15/AP15,-1E+9)</f>
        <v/>
      </c>
      <c r="AP15" s="46">
        <f>AL15*AJ15</f>
        <v/>
      </c>
    </row>
    <row r="16" ht="13.5" customHeight="1">
      <c r="B16" s="9" t="inlineStr">
        <is>
          <t>Altura libre del entrepiso</t>
        </is>
      </c>
      <c r="C16" s="22" t="inlineStr">
        <is>
          <t>hu</t>
        </is>
      </c>
      <c r="D16" s="25" t="n">
        <v>2.7</v>
      </c>
      <c r="E16" s="24" t="inlineStr">
        <is>
          <t>m</t>
        </is>
      </c>
      <c r="AD16" s="45" t="n">
        <v>9</v>
      </c>
      <c r="AE16" s="45">
        <f>IF(7&lt;=$D$46,$D$25+$D$44*7/($D$46+1),0)</f>
        <v/>
      </c>
      <c r="AF16" s="45">
        <f>IF(7&lt;=$D$46,$D$45*$D$32*$D$40/$D$46,0)</f>
        <v/>
      </c>
      <c r="AH16" s="46">
        <f>0.16*$D$36</f>
        <v/>
      </c>
      <c r="AI16" s="46">
        <f>MIN($D$49*AH16,$D$36)</f>
        <v/>
      </c>
      <c r="AJ16" s="46">
        <f>(0.85*$D$11*AI16*$D$14+SUMPRODUCT($AF$8:$AF$37,(ABS(6000*(1-$AE$8:$AE$37/AH16)+$D$12)-ABS(6000*(1-$AE$8:$AE$37/AH16)-$D$12))/2-0.85*$D$11*($AE$8:$AE$37&lt;AI16)))/1000</f>
        <v/>
      </c>
      <c r="AK16" s="46">
        <f>(0.85*$D$11*AI16*$D$14*($D$36/2-AI16/2)+SUMPRODUCT($AF$8:$AF$37,(ABS(6000*(1-$AE$8:$AE$37/AH16)+$D$12)-ABS(6000*(1-$AE$8:$AE$37/AH16)-$D$12))/2-0.85*$D$11*($AE$8:$AE$37&lt;AI16),$D$36/2-$AE$8:$AE$37))/100000</f>
        <v/>
      </c>
      <c r="AL16" s="46">
        <f>IF(AJ16&lt;=0,0.9,MAX(0.7,0.9/(1+0.2*AJ16/$D$54)))</f>
        <v/>
      </c>
      <c r="AM16" s="46">
        <f>MIN(AL16*AJ16,$D$51)</f>
        <v/>
      </c>
      <c r="AN16" s="46">
        <f>MAX(0,AL16*AK16)</f>
        <v/>
      </c>
      <c r="AO16" s="46">
        <f>IF(AP16&gt;0,-AN16/AP16,-1E+9)</f>
        <v/>
      </c>
      <c r="AP16" s="46">
        <f>AL16*AJ16</f>
        <v/>
      </c>
    </row>
    <row r="17" ht="13.5" customHeight="1">
      <c r="B17" s="9" t="inlineStr">
        <is>
          <t>Coeficiente de reducción sísmica R</t>
        </is>
      </c>
      <c r="C17" s="22" t="inlineStr">
        <is>
          <t>R</t>
        </is>
      </c>
      <c r="D17" s="35" t="n">
        <v>6</v>
      </c>
      <c r="E17" s="24" t="inlineStr"/>
      <c r="F17" s="27" t="inlineStr">
        <is>
          <t>Límite de Mn/Mua (21.9.5.3)</t>
        </is>
      </c>
      <c r="AD17" s="45" t="n">
        <v>10</v>
      </c>
      <c r="AE17" s="45">
        <f>IF(8&lt;=$D$46,$D$25+$D$44*8/($D$46+1),0)</f>
        <v/>
      </c>
      <c r="AF17" s="45">
        <f>IF(8&lt;=$D$46,$D$45*$D$32*$D$40/$D$46,0)</f>
        <v/>
      </c>
      <c r="AH17" s="46">
        <f>0.2*$D$36</f>
        <v/>
      </c>
      <c r="AI17" s="46">
        <f>MIN($D$49*AH17,$D$36)</f>
        <v/>
      </c>
      <c r="AJ17" s="46">
        <f>(0.85*$D$11*AI17*$D$14+SUMPRODUCT($AF$8:$AF$37,(ABS(6000*(1-$AE$8:$AE$37/AH17)+$D$12)-ABS(6000*(1-$AE$8:$AE$37/AH17)-$D$12))/2-0.85*$D$11*($AE$8:$AE$37&lt;AI17)))/1000</f>
        <v/>
      </c>
      <c r="AK17" s="46">
        <f>(0.85*$D$11*AI17*$D$14*($D$36/2-AI17/2)+SUMPRODUCT($AF$8:$AF$37,(ABS(6000*(1-$AE$8:$AE$37/AH17)+$D$12)-ABS(6000*(1-$AE$8:$AE$37/AH17)-$D$12))/2-0.85*$D$11*($AE$8:$AE$37&lt;AI17),$D$36/2-$AE$8:$AE$37))/100000</f>
        <v/>
      </c>
      <c r="AL17" s="46">
        <f>IF(AJ17&lt;=0,0.9,MAX(0.7,0.9/(1+0.2*AJ17/$D$54)))</f>
        <v/>
      </c>
      <c r="AM17" s="46">
        <f>MIN(AL17*AJ17,$D$51)</f>
        <v/>
      </c>
      <c r="AN17" s="46">
        <f>MAX(0,AL17*AK17)</f>
        <v/>
      </c>
      <c r="AO17" s="46">
        <f>IF(AP17&gt;0,-AN17/AP17,-1E+9)</f>
        <v/>
      </c>
      <c r="AP17" s="46">
        <f>AL17*AJ17</f>
        <v/>
      </c>
    </row>
    <row r="18">
      <c r="B18" s="4" t="inlineStr">
        <is>
          <t>Fuerzas en la base (envolvente)</t>
        </is>
      </c>
      <c r="AD18" s="45" t="n">
        <v>11</v>
      </c>
      <c r="AE18" s="45">
        <f>IF(9&lt;=$D$46,$D$25+$D$44*9/($D$46+1),0)</f>
        <v/>
      </c>
      <c r="AF18" s="45">
        <f>IF(9&lt;=$D$46,$D$45*$D$32*$D$40/$D$46,0)</f>
        <v/>
      </c>
      <c r="AH18" s="46">
        <f>0.25*$D$36</f>
        <v/>
      </c>
      <c r="AI18" s="46">
        <f>MIN($D$49*AH18,$D$36)</f>
        <v/>
      </c>
      <c r="AJ18" s="46">
        <f>(0.85*$D$11*AI18*$D$14+SUMPRODUCT($AF$8:$AF$37,(ABS(6000*(1-$AE$8:$AE$37/AH18)+$D$12)-ABS(6000*(1-$AE$8:$AE$37/AH18)-$D$12))/2-0.85*$D$11*($AE$8:$AE$37&lt;AI18)))/1000</f>
        <v/>
      </c>
      <c r="AK18" s="46">
        <f>(0.85*$D$11*AI18*$D$14*($D$36/2-AI18/2)+SUMPRODUCT($AF$8:$AF$37,(ABS(6000*(1-$AE$8:$AE$37/AH18)+$D$12)-ABS(6000*(1-$AE$8:$AE$37/AH18)-$D$12))/2-0.85*$D$11*($AE$8:$AE$37&lt;AI18),$D$36/2-$AE$8:$AE$37))/100000</f>
        <v/>
      </c>
      <c r="AL18" s="46">
        <f>IF(AJ18&lt;=0,0.9,MAX(0.7,0.9/(1+0.2*AJ18/$D$54)))</f>
        <v/>
      </c>
      <c r="AM18" s="46">
        <f>MIN(AL18*AJ18,$D$51)</f>
        <v/>
      </c>
      <c r="AN18" s="46">
        <f>MAX(0,AL18*AK18)</f>
        <v/>
      </c>
      <c r="AO18" s="46">
        <f>IF(AP18&gt;0,-AN18/AP18,-1E+9)</f>
        <v/>
      </c>
      <c r="AP18" s="46">
        <f>AL18*AJ18</f>
        <v/>
      </c>
    </row>
    <row r="19" ht="13.5" customHeight="1">
      <c r="B19" s="9" t="inlineStr">
        <is>
          <t>Carga axial última</t>
        </is>
      </c>
      <c r="C19" s="22" t="inlineStr">
        <is>
          <t>Pu</t>
        </is>
      </c>
      <c r="D19" s="25" t="n">
        <v>120</v>
      </c>
      <c r="E19" s="24" t="inlineStr">
        <is>
          <t>t</t>
        </is>
      </c>
      <c r="AD19" s="45" t="n">
        <v>12</v>
      </c>
      <c r="AE19" s="45">
        <f>IF(10&lt;=$D$46,$D$25+$D$44*10/($D$46+1),0)</f>
        <v/>
      </c>
      <c r="AF19" s="45">
        <f>IF(10&lt;=$D$46,$D$45*$D$32*$D$40/$D$46,0)</f>
        <v/>
      </c>
      <c r="AH19" s="46">
        <f>0.3*$D$36</f>
        <v/>
      </c>
      <c r="AI19" s="46">
        <f>MIN($D$49*AH19,$D$36)</f>
        <v/>
      </c>
      <c r="AJ19" s="46">
        <f>(0.85*$D$11*AI19*$D$14+SUMPRODUCT($AF$8:$AF$37,(ABS(6000*(1-$AE$8:$AE$37/AH19)+$D$12)-ABS(6000*(1-$AE$8:$AE$37/AH19)-$D$12))/2-0.85*$D$11*($AE$8:$AE$37&lt;AI19)))/1000</f>
        <v/>
      </c>
      <c r="AK19" s="46">
        <f>(0.85*$D$11*AI19*$D$14*($D$36/2-AI19/2)+SUMPRODUCT($AF$8:$AF$37,(ABS(6000*(1-$AE$8:$AE$37/AH19)+$D$12)-ABS(6000*(1-$AE$8:$AE$37/AH19)-$D$12))/2-0.85*$D$11*($AE$8:$AE$37&lt;AI19),$D$36/2-$AE$8:$AE$37))/100000</f>
        <v/>
      </c>
      <c r="AL19" s="46">
        <f>IF(AJ19&lt;=0,0.9,MAX(0.7,0.9/(1+0.2*AJ19/$D$54)))</f>
        <v/>
      </c>
      <c r="AM19" s="46">
        <f>MIN(AL19*AJ19,$D$51)</f>
        <v/>
      </c>
      <c r="AN19" s="46">
        <f>MAX(0,AL19*AK19)</f>
        <v/>
      </c>
      <c r="AO19" s="46">
        <f>IF(AP19&gt;0,-AN19/AP19,-1E+9)</f>
        <v/>
      </c>
      <c r="AP19" s="46">
        <f>AL19*AJ19</f>
        <v/>
      </c>
    </row>
    <row r="20" ht="13.5" customHeight="1">
      <c r="B20" s="9" t="inlineStr">
        <is>
          <t>Momento último del análisis</t>
        </is>
      </c>
      <c r="C20" s="22" t="inlineStr">
        <is>
          <t>Mua</t>
        </is>
      </c>
      <c r="D20" s="25" t="n">
        <v>280</v>
      </c>
      <c r="E20" s="24" t="inlineStr">
        <is>
          <t>t·m</t>
        </is>
      </c>
      <c r="AD20" s="45" t="n">
        <v>13</v>
      </c>
      <c r="AE20" s="45">
        <f>IF(11&lt;=$D$46,$D$25+$D$44*11/($D$46+1),0)</f>
        <v/>
      </c>
      <c r="AF20" s="45">
        <f>IF(11&lt;=$D$46,$D$45*$D$32*$D$40/$D$46,0)</f>
        <v/>
      </c>
      <c r="AH20" s="46">
        <f>0.35*$D$36</f>
        <v/>
      </c>
      <c r="AI20" s="46">
        <f>MIN($D$49*AH20,$D$36)</f>
        <v/>
      </c>
      <c r="AJ20" s="46">
        <f>(0.85*$D$11*AI20*$D$14+SUMPRODUCT($AF$8:$AF$37,(ABS(6000*(1-$AE$8:$AE$37/AH20)+$D$12)-ABS(6000*(1-$AE$8:$AE$37/AH20)-$D$12))/2-0.85*$D$11*($AE$8:$AE$37&lt;AI20)))/1000</f>
        <v/>
      </c>
      <c r="AK20" s="46">
        <f>(0.85*$D$11*AI20*$D$14*($D$36/2-AI20/2)+SUMPRODUCT($AF$8:$AF$37,(ABS(6000*(1-$AE$8:$AE$37/AH20)+$D$12)-ABS(6000*(1-$AE$8:$AE$37/AH20)-$D$12))/2-0.85*$D$11*($AE$8:$AE$37&lt;AI20),$D$36/2-$AE$8:$AE$37))/100000</f>
        <v/>
      </c>
      <c r="AL20" s="46">
        <f>IF(AJ20&lt;=0,0.9,MAX(0.7,0.9/(1+0.2*AJ20/$D$54)))</f>
        <v/>
      </c>
      <c r="AM20" s="46">
        <f>MIN(AL20*AJ20,$D$51)</f>
        <v/>
      </c>
      <c r="AN20" s="46">
        <f>MAX(0,AL20*AK20)</f>
        <v/>
      </c>
      <c r="AO20" s="46">
        <f>IF(AP20&gt;0,-AN20/AP20,-1E+9)</f>
        <v/>
      </c>
      <c r="AP20" s="46">
        <f>AL20*AJ20</f>
        <v/>
      </c>
    </row>
    <row r="21" ht="13.5" customHeight="1">
      <c r="B21" s="9" t="inlineStr">
        <is>
          <t>Cortante último del análisis</t>
        </is>
      </c>
      <c r="C21" s="22" t="inlineStr">
        <is>
          <t>Vua</t>
        </is>
      </c>
      <c r="D21" s="25" t="n">
        <v>55</v>
      </c>
      <c r="E21" s="24" t="inlineStr">
        <is>
          <t>t</t>
        </is>
      </c>
      <c r="AD21" s="45" t="n">
        <v>14</v>
      </c>
      <c r="AE21" s="45">
        <f>IF(12&lt;=$D$46,$D$25+$D$44*12/($D$46+1),0)</f>
        <v/>
      </c>
      <c r="AF21" s="45">
        <f>IF(12&lt;=$D$46,$D$45*$D$32*$D$40/$D$46,0)</f>
        <v/>
      </c>
      <c r="AH21" s="46">
        <f>0.375*$D$36</f>
        <v/>
      </c>
      <c r="AI21" s="46">
        <f>MIN($D$49*AH21,$D$36)</f>
        <v/>
      </c>
      <c r="AJ21" s="46">
        <f>(0.85*$D$11*AI21*$D$14+SUMPRODUCT($AF$8:$AF$37,(ABS(6000*(1-$AE$8:$AE$37/AH21)+$D$12)-ABS(6000*(1-$AE$8:$AE$37/AH21)-$D$12))/2-0.85*$D$11*($AE$8:$AE$37&lt;AI21)))/1000</f>
        <v/>
      </c>
      <c r="AK21" s="46">
        <f>(0.85*$D$11*AI21*$D$14*($D$36/2-AI21/2)+SUMPRODUCT($AF$8:$AF$37,(ABS(6000*(1-$AE$8:$AE$37/AH21)+$D$12)-ABS(6000*(1-$AE$8:$AE$37/AH21)-$D$12))/2-0.85*$D$11*($AE$8:$AE$37&lt;AI21),$D$36/2-$AE$8:$AE$37))/100000</f>
        <v/>
      </c>
      <c r="AL21" s="46">
        <f>IF(AJ21&lt;=0,0.9,MAX(0.7,0.9/(1+0.2*AJ21/$D$54)))</f>
        <v/>
      </c>
      <c r="AM21" s="46">
        <f>MIN(AL21*AJ21,$D$51)</f>
        <v/>
      </c>
      <c r="AN21" s="46">
        <f>MAX(0,AL21*AK21)</f>
        <v/>
      </c>
      <c r="AO21" s="46">
        <f>IF(AP21&gt;0,-AN21/AP21,-1E+9)</f>
        <v/>
      </c>
      <c r="AP21" s="46">
        <f>AL21*AJ21</f>
        <v/>
      </c>
    </row>
    <row r="22" ht="13.5" customHeight="1">
      <c r="B22" s="9" t="inlineStr">
        <is>
          <t>Desplazamiento inelástico del techo δu</t>
        </is>
      </c>
      <c r="C22" s="22" t="inlineStr">
        <is>
          <t>δu</t>
        </is>
      </c>
      <c r="D22" s="25" t="n">
        <v>6</v>
      </c>
      <c r="E22" s="24" t="inlineStr">
        <is>
          <t>cm</t>
        </is>
      </c>
      <c r="F22" s="27" t="inlineStr">
        <is>
          <t>E.030: 0.75R × elástico (0.85R irregular)</t>
        </is>
      </c>
      <c r="AD22" s="45" t="n">
        <v>15</v>
      </c>
      <c r="AE22" s="45">
        <f>IF(13&lt;=$D$46,$D$25+$D$44*13/($D$46+1),0)</f>
        <v/>
      </c>
      <c r="AF22" s="45">
        <f>IF(13&lt;=$D$46,$D$45*$D$32*$D$40/$D$46,0)</f>
        <v/>
      </c>
      <c r="AH22" s="46">
        <f>0.4*$D$36</f>
        <v/>
      </c>
      <c r="AI22" s="46">
        <f>MIN($D$49*AH22,$D$36)</f>
        <v/>
      </c>
      <c r="AJ22" s="46">
        <f>(0.85*$D$11*AI22*$D$14+SUMPRODUCT($AF$8:$AF$37,(ABS(6000*(1-$AE$8:$AE$37/AH22)+$D$12)-ABS(6000*(1-$AE$8:$AE$37/AH22)-$D$12))/2-0.85*$D$11*($AE$8:$AE$37&lt;AI22)))/1000</f>
        <v/>
      </c>
      <c r="AK22" s="46">
        <f>(0.85*$D$11*AI22*$D$14*($D$36/2-AI22/2)+SUMPRODUCT($AF$8:$AF$37,(ABS(6000*(1-$AE$8:$AE$37/AH22)+$D$12)-ABS(6000*(1-$AE$8:$AE$37/AH22)-$D$12))/2-0.85*$D$11*($AE$8:$AE$37&lt;AI22),$D$36/2-$AE$8:$AE$37))/100000</f>
        <v/>
      </c>
      <c r="AL22" s="46">
        <f>IF(AJ22&lt;=0,0.9,MAX(0.7,0.9/(1+0.2*AJ22/$D$54)))</f>
        <v/>
      </c>
      <c r="AM22" s="46">
        <f>MIN(AL22*AJ22,$D$51)</f>
        <v/>
      </c>
      <c r="AN22" s="46">
        <f>MAX(0,AL22*AK22)</f>
        <v/>
      </c>
      <c r="AO22" s="46">
        <f>IF(AP22&gt;0,-AN22/AP22,-1E+9)</f>
        <v/>
      </c>
      <c r="AP22" s="46">
        <f>AL22*AJ22</f>
        <v/>
      </c>
    </row>
    <row r="23">
      <c r="B23" s="4" t="inlineStr">
        <is>
          <t>Refuerzo</t>
        </is>
      </c>
      <c r="AD23" s="45" t="n">
        <v>16</v>
      </c>
      <c r="AE23" s="45">
        <f>IF(14&lt;=$D$46,$D$25+$D$44*14/($D$46+1),0)</f>
        <v/>
      </c>
      <c r="AF23" s="45">
        <f>IF(14&lt;=$D$46,$D$45*$D$32*$D$40/$D$46,0)</f>
        <v/>
      </c>
      <c r="AH23" s="46">
        <f>0.425*$D$36</f>
        <v/>
      </c>
      <c r="AI23" s="46">
        <f>MIN($D$49*AH23,$D$36)</f>
        <v/>
      </c>
      <c r="AJ23" s="46">
        <f>(0.85*$D$11*AI23*$D$14+SUMPRODUCT($AF$8:$AF$37,(ABS(6000*(1-$AE$8:$AE$37/AH23)+$D$12)-ABS(6000*(1-$AE$8:$AE$37/AH23)-$D$12))/2-0.85*$D$11*($AE$8:$AE$37&lt;AI23)))/1000</f>
        <v/>
      </c>
      <c r="AK23" s="46">
        <f>(0.85*$D$11*AI23*$D$14*($D$36/2-AI23/2)+SUMPRODUCT($AF$8:$AF$37,(ABS(6000*(1-$AE$8:$AE$37/AH23)+$D$12)-ABS(6000*(1-$AE$8:$AE$37/AH23)-$D$12))/2-0.85*$D$11*($AE$8:$AE$37&lt;AI23),$D$36/2-$AE$8:$AE$37))/100000</f>
        <v/>
      </c>
      <c r="AL23" s="46">
        <f>IF(AJ23&lt;=0,0.9,MAX(0.7,0.9/(1+0.2*AJ23/$D$54)))</f>
        <v/>
      </c>
      <c r="AM23" s="46">
        <f>MIN(AL23*AJ23,$D$51)</f>
        <v/>
      </c>
      <c r="AN23" s="46">
        <f>MAX(0,AL23*AK23)</f>
        <v/>
      </c>
      <c r="AO23" s="46">
        <f>IF(AP23&gt;0,-AN23/AP23,-1E+9)</f>
        <v/>
      </c>
      <c r="AP23" s="46">
        <f>AL23*AJ23</f>
        <v/>
      </c>
    </row>
    <row r="24" ht="13.5" customHeight="1">
      <c r="B24" s="9" t="inlineStr">
        <is>
          <t>Recubrimiento libre</t>
        </is>
      </c>
      <c r="C24" s="22" t="inlineStr">
        <is>
          <t>r</t>
        </is>
      </c>
      <c r="D24" s="35" t="n">
        <v>4</v>
      </c>
      <c r="E24" s="24" t="inlineStr">
        <is>
          <t>cm</t>
        </is>
      </c>
      <c r="AD24" s="45" t="n">
        <v>17</v>
      </c>
      <c r="AE24" s="45">
        <f>IF(15&lt;=$D$46,$D$25+$D$44*15/($D$46+1),0)</f>
        <v/>
      </c>
      <c r="AF24" s="45">
        <f>IF(15&lt;=$D$46,$D$45*$D$32*$D$40/$D$46,0)</f>
        <v/>
      </c>
      <c r="AH24" s="46">
        <f>0.45*$D$36</f>
        <v/>
      </c>
      <c r="AI24" s="46">
        <f>MIN($D$49*AH24,$D$36)</f>
        <v/>
      </c>
      <c r="AJ24" s="46">
        <f>(0.85*$D$11*AI24*$D$14+SUMPRODUCT($AF$8:$AF$37,(ABS(6000*(1-$AE$8:$AE$37/AH24)+$D$12)-ABS(6000*(1-$AE$8:$AE$37/AH24)-$D$12))/2-0.85*$D$11*($AE$8:$AE$37&lt;AI24)))/1000</f>
        <v/>
      </c>
      <c r="AK24" s="46">
        <f>(0.85*$D$11*AI24*$D$14*($D$36/2-AI24/2)+SUMPRODUCT($AF$8:$AF$37,(ABS(6000*(1-$AE$8:$AE$37/AH24)+$D$12)-ABS(6000*(1-$AE$8:$AE$37/AH24)-$D$12))/2-0.85*$D$11*($AE$8:$AE$37&lt;AI24),$D$36/2-$AE$8:$AE$37))/100000</f>
        <v/>
      </c>
      <c r="AL24" s="46">
        <f>IF(AJ24&lt;=0,0.9,MAX(0.7,0.9/(1+0.2*AJ24/$D$54)))</f>
        <v/>
      </c>
      <c r="AM24" s="46">
        <f>MIN(AL24*AJ24,$D$51)</f>
        <v/>
      </c>
      <c r="AN24" s="46">
        <f>MAX(0,AL24*AK24)</f>
        <v/>
      </c>
      <c r="AO24" s="46">
        <f>IF(AP24&gt;0,-AN24/AP24,-1E+9)</f>
        <v/>
      </c>
      <c r="AP24" s="46">
        <f>AL24*AJ24</f>
        <v/>
      </c>
    </row>
    <row r="25" ht="13.5" customHeight="1">
      <c r="B25" s="9" t="inlineStr">
        <is>
          <t>Longitud de cada núcleo de borde</t>
        </is>
      </c>
      <c r="C25" s="22" t="inlineStr">
        <is>
          <t>lb</t>
        </is>
      </c>
      <c r="D25" s="35" t="n">
        <v>40</v>
      </c>
      <c r="E25" s="24" t="inlineStr">
        <is>
          <t>cm</t>
        </is>
      </c>
      <c r="AD25" s="45" t="n">
        <v>18</v>
      </c>
      <c r="AE25" s="45">
        <f>IF(16&lt;=$D$46,$D$25+$D$44*16/($D$46+1),0)</f>
        <v/>
      </c>
      <c r="AF25" s="45">
        <f>IF(16&lt;=$D$46,$D$45*$D$32*$D$40/$D$46,0)</f>
        <v/>
      </c>
      <c r="AH25" s="46">
        <f>0.475*$D$36</f>
        <v/>
      </c>
      <c r="AI25" s="46">
        <f>MIN($D$49*AH25,$D$36)</f>
        <v/>
      </c>
      <c r="AJ25" s="46">
        <f>(0.85*$D$11*AI25*$D$14+SUMPRODUCT($AF$8:$AF$37,(ABS(6000*(1-$AE$8:$AE$37/AH25)+$D$12)-ABS(6000*(1-$AE$8:$AE$37/AH25)-$D$12))/2-0.85*$D$11*($AE$8:$AE$37&lt;AI25)))/1000</f>
        <v/>
      </c>
      <c r="AK25" s="46">
        <f>(0.85*$D$11*AI25*$D$14*($D$36/2-AI25/2)+SUMPRODUCT($AF$8:$AF$37,(ABS(6000*(1-$AE$8:$AE$37/AH25)+$D$12)-ABS(6000*(1-$AE$8:$AE$37/AH25)-$D$12))/2-0.85*$D$11*($AE$8:$AE$37&lt;AI25),$D$36/2-$AE$8:$AE$37))/100000</f>
        <v/>
      </c>
      <c r="AL25" s="46">
        <f>IF(AJ25&lt;=0,0.9,MAX(0.7,0.9/(1+0.2*AJ25/$D$54)))</f>
        <v/>
      </c>
      <c r="AM25" s="46">
        <f>MIN(AL25*AJ25,$D$51)</f>
        <v/>
      </c>
      <c r="AN25" s="46">
        <f>MAX(0,AL25*AK25)</f>
        <v/>
      </c>
      <c r="AO25" s="46">
        <f>IF(AP25&gt;0,-AN25/AP25,-1E+9)</f>
        <v/>
      </c>
      <c r="AP25" s="46">
        <f>AL25*AJ25</f>
        <v/>
      </c>
    </row>
    <row r="26" ht="13.5" customHeight="1">
      <c r="B26" s="9" t="inlineStr">
        <is>
          <t>Varillas por núcleo de borde (par)</t>
        </is>
      </c>
      <c r="C26" s="22" t="inlineStr">
        <is>
          <t>nb</t>
        </is>
      </c>
      <c r="D26" s="23" t="n">
        <v>8</v>
      </c>
      <c r="E26" s="24" t="inlineStr"/>
      <c r="AD26" s="45" t="n">
        <v>19</v>
      </c>
      <c r="AE26" s="45">
        <f>IF(17&lt;=$D$46,$D$25+$D$44*17/($D$46+1),0)</f>
        <v/>
      </c>
      <c r="AF26" s="45">
        <f>IF(17&lt;=$D$46,$D$45*$D$32*$D$40/$D$46,0)</f>
        <v/>
      </c>
      <c r="AH26" s="46">
        <f>0.5*$D$36</f>
        <v/>
      </c>
      <c r="AI26" s="46">
        <f>MIN($D$49*AH26,$D$36)</f>
        <v/>
      </c>
      <c r="AJ26" s="46">
        <f>(0.85*$D$11*AI26*$D$14+SUMPRODUCT($AF$8:$AF$37,(ABS(6000*(1-$AE$8:$AE$37/AH26)+$D$12)-ABS(6000*(1-$AE$8:$AE$37/AH26)-$D$12))/2-0.85*$D$11*($AE$8:$AE$37&lt;AI26)))/1000</f>
        <v/>
      </c>
      <c r="AK26" s="46">
        <f>(0.85*$D$11*AI26*$D$14*($D$36/2-AI26/2)+SUMPRODUCT($AF$8:$AF$37,(ABS(6000*(1-$AE$8:$AE$37/AH26)+$D$12)-ABS(6000*(1-$AE$8:$AE$37/AH26)-$D$12))/2-0.85*$D$11*($AE$8:$AE$37&lt;AI26),$D$36/2-$AE$8:$AE$37))/100000</f>
        <v/>
      </c>
      <c r="AL26" s="46">
        <f>IF(AJ26&lt;=0,0.9,MAX(0.7,0.9/(1+0.2*AJ26/$D$54)))</f>
        <v/>
      </c>
      <c r="AM26" s="46">
        <f>MIN(AL26*AJ26,$D$51)</f>
        <v/>
      </c>
      <c r="AN26" s="46">
        <f>MAX(0,AL26*AK26)</f>
        <v/>
      </c>
      <c r="AO26" s="46">
        <f>IF(AP26&gt;0,-AN26/AP26,-1E+9)</f>
        <v/>
      </c>
      <c r="AP26" s="46">
        <f>AL26*AJ26</f>
        <v/>
      </c>
    </row>
    <row r="27" ht="13.5" customHeight="1">
      <c r="B27" s="9" t="inlineStr">
        <is>
          <t>Varilla del núcleo</t>
        </is>
      </c>
      <c r="C27" s="22" t="inlineStr">
        <is>
          <t>Øb</t>
        </is>
      </c>
      <c r="D27" s="31" t="inlineStr">
        <is>
          <t>3/4"</t>
        </is>
      </c>
      <c r="E27" s="24" t="inlineStr"/>
      <c r="AD27" s="45" t="n">
        <v>20</v>
      </c>
      <c r="AE27" s="45">
        <f>IF(18&lt;=$D$46,$D$25+$D$44*18/($D$46+1),0)</f>
        <v/>
      </c>
      <c r="AF27" s="45">
        <f>IF(18&lt;=$D$46,$D$45*$D$32*$D$40/$D$46,0)</f>
        <v/>
      </c>
      <c r="AH27" s="46">
        <f>0.525*$D$36</f>
        <v/>
      </c>
      <c r="AI27" s="46">
        <f>MIN($D$49*AH27,$D$36)</f>
        <v/>
      </c>
      <c r="AJ27" s="46">
        <f>(0.85*$D$11*AI27*$D$14+SUMPRODUCT($AF$8:$AF$37,(ABS(6000*(1-$AE$8:$AE$37/AH27)+$D$12)-ABS(6000*(1-$AE$8:$AE$37/AH27)-$D$12))/2-0.85*$D$11*($AE$8:$AE$37&lt;AI27)))/1000</f>
        <v/>
      </c>
      <c r="AK27" s="46">
        <f>(0.85*$D$11*AI27*$D$14*($D$36/2-AI27/2)+SUMPRODUCT($AF$8:$AF$37,(ABS(6000*(1-$AE$8:$AE$37/AH27)+$D$12)-ABS(6000*(1-$AE$8:$AE$37/AH27)-$D$12))/2-0.85*$D$11*($AE$8:$AE$37&lt;AI27),$D$36/2-$AE$8:$AE$37))/100000</f>
        <v/>
      </c>
      <c r="AL27" s="46">
        <f>IF(AJ27&lt;=0,0.9,MAX(0.7,0.9/(1+0.2*AJ27/$D$54)))</f>
        <v/>
      </c>
      <c r="AM27" s="46">
        <f>MIN(AL27*AJ27,$D$51)</f>
        <v/>
      </c>
      <c r="AN27" s="46">
        <f>MAX(0,AL27*AK27)</f>
        <v/>
      </c>
      <c r="AO27" s="46">
        <f>IF(AP27&gt;0,-AN27/AP27,-1E+9)</f>
        <v/>
      </c>
      <c r="AP27" s="46">
        <f>AL27*AJ27</f>
        <v/>
      </c>
    </row>
    <row r="28" ht="13.5" customHeight="1">
      <c r="B28" s="9" t="inlineStr">
        <is>
          <t>Varilla vertical del alma</t>
        </is>
      </c>
      <c r="C28" s="22" t="inlineStr">
        <is>
          <t>Øv</t>
        </is>
      </c>
      <c r="D28" s="31" t="inlineStr">
        <is>
          <t>1/2"</t>
        </is>
      </c>
      <c r="E28" s="24" t="inlineStr"/>
      <c r="AD28" s="45" t="n">
        <v>21</v>
      </c>
      <c r="AE28" s="45">
        <f>IF(19&lt;=$D$46,$D$25+$D$44*19/($D$46+1),0)</f>
        <v/>
      </c>
      <c r="AF28" s="45">
        <f>IF(19&lt;=$D$46,$D$45*$D$32*$D$40/$D$46,0)</f>
        <v/>
      </c>
      <c r="AH28" s="46">
        <f>0.55*$D$36</f>
        <v/>
      </c>
      <c r="AI28" s="46">
        <f>MIN($D$49*AH28,$D$36)</f>
        <v/>
      </c>
      <c r="AJ28" s="46">
        <f>(0.85*$D$11*AI28*$D$14+SUMPRODUCT($AF$8:$AF$37,(ABS(6000*(1-$AE$8:$AE$37/AH28)+$D$12)-ABS(6000*(1-$AE$8:$AE$37/AH28)-$D$12))/2-0.85*$D$11*($AE$8:$AE$37&lt;AI28)))/1000</f>
        <v/>
      </c>
      <c r="AK28" s="46">
        <f>(0.85*$D$11*AI28*$D$14*($D$36/2-AI28/2)+SUMPRODUCT($AF$8:$AF$37,(ABS(6000*(1-$AE$8:$AE$37/AH28)+$D$12)-ABS(6000*(1-$AE$8:$AE$37/AH28)-$D$12))/2-0.85*$D$11*($AE$8:$AE$37&lt;AI28),$D$36/2-$AE$8:$AE$37))/100000</f>
        <v/>
      </c>
      <c r="AL28" s="46">
        <f>IF(AJ28&lt;=0,0.9,MAX(0.7,0.9/(1+0.2*AJ28/$D$54)))</f>
        <v/>
      </c>
      <c r="AM28" s="46">
        <f>MIN(AL28*AJ28,$D$51)</f>
        <v/>
      </c>
      <c r="AN28" s="46">
        <f>MAX(0,AL28*AK28)</f>
        <v/>
      </c>
      <c r="AO28" s="46">
        <f>IF(AP28&gt;0,-AN28/AP28,-1E+9)</f>
        <v/>
      </c>
      <c r="AP28" s="46">
        <f>AL28*AJ28</f>
        <v/>
      </c>
    </row>
    <row r="29" ht="13.5" customHeight="1">
      <c r="B29" s="9" t="inlineStr">
        <is>
          <t>Espaciamiento vertical del alma</t>
        </is>
      </c>
      <c r="C29" s="22" t="inlineStr">
        <is>
          <t>sv</t>
        </is>
      </c>
      <c r="D29" s="35" t="n">
        <v>20</v>
      </c>
      <c r="E29" s="24" t="inlineStr">
        <is>
          <t>cm</t>
        </is>
      </c>
      <c r="AD29" s="45" t="n">
        <v>22</v>
      </c>
      <c r="AE29" s="45">
        <f>IF(20&lt;=$D$46,$D$25+$D$44*20/($D$46+1),0)</f>
        <v/>
      </c>
      <c r="AF29" s="45">
        <f>IF(20&lt;=$D$46,$D$45*$D$32*$D$40/$D$46,0)</f>
        <v/>
      </c>
      <c r="AH29" s="46">
        <f>0.575*$D$36</f>
        <v/>
      </c>
      <c r="AI29" s="46">
        <f>MIN($D$49*AH29,$D$36)</f>
        <v/>
      </c>
      <c r="AJ29" s="46">
        <f>(0.85*$D$11*AI29*$D$14+SUMPRODUCT($AF$8:$AF$37,(ABS(6000*(1-$AE$8:$AE$37/AH29)+$D$12)-ABS(6000*(1-$AE$8:$AE$37/AH29)-$D$12))/2-0.85*$D$11*($AE$8:$AE$37&lt;AI29)))/1000</f>
        <v/>
      </c>
      <c r="AK29" s="46">
        <f>(0.85*$D$11*AI29*$D$14*($D$36/2-AI29/2)+SUMPRODUCT($AF$8:$AF$37,(ABS(6000*(1-$AE$8:$AE$37/AH29)+$D$12)-ABS(6000*(1-$AE$8:$AE$37/AH29)-$D$12))/2-0.85*$D$11*($AE$8:$AE$37&lt;AI29),$D$36/2-$AE$8:$AE$37))/100000</f>
        <v/>
      </c>
      <c r="AL29" s="46">
        <f>IF(AJ29&lt;=0,0.9,MAX(0.7,0.9/(1+0.2*AJ29/$D$54)))</f>
        <v/>
      </c>
      <c r="AM29" s="46">
        <f>MIN(AL29*AJ29,$D$51)</f>
        <v/>
      </c>
      <c r="AN29" s="46">
        <f>MAX(0,AL29*AK29)</f>
        <v/>
      </c>
      <c r="AO29" s="46">
        <f>IF(AP29&gt;0,-AN29/AP29,-1E+9)</f>
        <v/>
      </c>
      <c r="AP29" s="46">
        <f>AL29*AJ29</f>
        <v/>
      </c>
    </row>
    <row r="30" ht="13.5" customHeight="1">
      <c r="B30" s="9" t="inlineStr">
        <is>
          <t>Varilla horizontal</t>
        </is>
      </c>
      <c r="C30" s="22" t="inlineStr">
        <is>
          <t>Øh</t>
        </is>
      </c>
      <c r="D30" s="31" t="inlineStr">
        <is>
          <t>1/2"</t>
        </is>
      </c>
      <c r="E30" s="24" t="inlineStr"/>
      <c r="AD30" s="45" t="n">
        <v>23</v>
      </c>
      <c r="AE30" s="45">
        <f>IF(21&lt;=$D$46,$D$25+$D$44*21/($D$46+1),0)</f>
        <v/>
      </c>
      <c r="AF30" s="45">
        <f>IF(21&lt;=$D$46,$D$45*$D$32*$D$40/$D$46,0)</f>
        <v/>
      </c>
      <c r="AH30" s="46">
        <f>0.6*$D$36</f>
        <v/>
      </c>
      <c r="AI30" s="46">
        <f>MIN($D$49*AH30,$D$36)</f>
        <v/>
      </c>
      <c r="AJ30" s="46">
        <f>(0.85*$D$11*AI30*$D$14+SUMPRODUCT($AF$8:$AF$37,(ABS(6000*(1-$AE$8:$AE$37/AH30)+$D$12)-ABS(6000*(1-$AE$8:$AE$37/AH30)-$D$12))/2-0.85*$D$11*($AE$8:$AE$37&lt;AI30)))/1000</f>
        <v/>
      </c>
      <c r="AK30" s="46">
        <f>(0.85*$D$11*AI30*$D$14*($D$36/2-AI30/2)+SUMPRODUCT($AF$8:$AF$37,(ABS(6000*(1-$AE$8:$AE$37/AH30)+$D$12)-ABS(6000*(1-$AE$8:$AE$37/AH30)-$D$12))/2-0.85*$D$11*($AE$8:$AE$37&lt;AI30),$D$36/2-$AE$8:$AE$37))/100000</f>
        <v/>
      </c>
      <c r="AL30" s="46">
        <f>IF(AJ30&lt;=0,0.9,MAX(0.7,0.9/(1+0.2*AJ30/$D$54)))</f>
        <v/>
      </c>
      <c r="AM30" s="46">
        <f>MIN(AL30*AJ30,$D$51)</f>
        <v/>
      </c>
      <c r="AN30" s="46">
        <f>MAX(0,AL30*AK30)</f>
        <v/>
      </c>
      <c r="AO30" s="46">
        <f>IF(AP30&gt;0,-AN30/AP30,-1E+9)</f>
        <v/>
      </c>
      <c r="AP30" s="46">
        <f>AL30*AJ30</f>
        <v/>
      </c>
    </row>
    <row r="31" ht="13.5" customHeight="1">
      <c r="B31" s="9" t="inlineStr">
        <is>
          <t>Espaciamiento horizontal</t>
        </is>
      </c>
      <c r="C31" s="22" t="inlineStr">
        <is>
          <t>sh</t>
        </is>
      </c>
      <c r="D31" s="35" t="n">
        <v>20</v>
      </c>
      <c r="E31" s="24" t="inlineStr">
        <is>
          <t>cm</t>
        </is>
      </c>
      <c r="AD31" s="45" t="n">
        <v>24</v>
      </c>
      <c r="AE31" s="45">
        <f>IF(22&lt;=$D$46,$D$25+$D$44*22/($D$46+1),0)</f>
        <v/>
      </c>
      <c r="AF31" s="45">
        <f>IF(22&lt;=$D$46,$D$45*$D$32*$D$40/$D$46,0)</f>
        <v/>
      </c>
      <c r="AH31" s="46">
        <f>0.625*$D$36</f>
        <v/>
      </c>
      <c r="AI31" s="46">
        <f>MIN($D$49*AH31,$D$36)</f>
        <v/>
      </c>
      <c r="AJ31" s="46">
        <f>(0.85*$D$11*AI31*$D$14+SUMPRODUCT($AF$8:$AF$37,(ABS(6000*(1-$AE$8:$AE$37/AH31)+$D$12)-ABS(6000*(1-$AE$8:$AE$37/AH31)-$D$12))/2-0.85*$D$11*($AE$8:$AE$37&lt;AI31)))/1000</f>
        <v/>
      </c>
      <c r="AK31" s="46">
        <f>(0.85*$D$11*AI31*$D$14*($D$36/2-AI31/2)+SUMPRODUCT($AF$8:$AF$37,(ABS(6000*(1-$AE$8:$AE$37/AH31)+$D$12)-ABS(6000*(1-$AE$8:$AE$37/AH31)-$D$12))/2-0.85*$D$11*($AE$8:$AE$37&lt;AI31),$D$36/2-$AE$8:$AE$37))/100000</f>
        <v/>
      </c>
      <c r="AL31" s="46">
        <f>IF(AJ31&lt;=0,0.9,MAX(0.7,0.9/(1+0.2*AJ31/$D$54)))</f>
        <v/>
      </c>
      <c r="AM31" s="46">
        <f>MIN(AL31*AJ31,$D$51)</f>
        <v/>
      </c>
      <c r="AN31" s="46">
        <f>MAX(0,AL31*AK31)</f>
        <v/>
      </c>
      <c r="AO31" s="46">
        <f>IF(AP31&gt;0,-AN31/AP31,-1E+9)</f>
        <v/>
      </c>
      <c r="AP31" s="46">
        <f>AL31*AJ31</f>
        <v/>
      </c>
    </row>
    <row r="32" ht="24" customHeight="1">
      <c r="B32" s="9" t="inlineStr">
        <is>
          <t>Número de capas (mallas)</t>
        </is>
      </c>
      <c r="C32" s="22" t="inlineStr"/>
      <c r="D32" s="23" t="n">
        <v>2</v>
      </c>
      <c r="E32" s="24" t="inlineStr"/>
      <c r="F32" s="27" t="inlineStr">
        <is>
          <t>Dos capas si t ≥ 20 cm o Vu &gt; 0.53√f'c·Acw (21.9.4.3)</t>
        </is>
      </c>
      <c r="AD32" s="45" t="n">
        <v>25</v>
      </c>
      <c r="AE32" s="45">
        <f>IF(23&lt;=$D$46,$D$25+$D$44*23/($D$46+1),0)</f>
        <v/>
      </c>
      <c r="AF32" s="45">
        <f>IF(23&lt;=$D$46,$D$45*$D$32*$D$40/$D$46,0)</f>
        <v/>
      </c>
      <c r="AH32" s="46">
        <f>0.65*$D$36</f>
        <v/>
      </c>
      <c r="AI32" s="46">
        <f>MIN($D$49*AH32,$D$36)</f>
        <v/>
      </c>
      <c r="AJ32" s="46">
        <f>(0.85*$D$11*AI32*$D$14+SUMPRODUCT($AF$8:$AF$37,(ABS(6000*(1-$AE$8:$AE$37/AH32)+$D$12)-ABS(6000*(1-$AE$8:$AE$37/AH32)-$D$12))/2-0.85*$D$11*($AE$8:$AE$37&lt;AI32)))/1000</f>
        <v/>
      </c>
      <c r="AK32" s="46">
        <f>(0.85*$D$11*AI32*$D$14*($D$36/2-AI32/2)+SUMPRODUCT($AF$8:$AF$37,(ABS(6000*(1-$AE$8:$AE$37/AH32)+$D$12)-ABS(6000*(1-$AE$8:$AE$37/AH32)-$D$12))/2-0.85*$D$11*($AE$8:$AE$37&lt;AI32),$D$36/2-$AE$8:$AE$37))/100000</f>
        <v/>
      </c>
      <c r="AL32" s="46">
        <f>IF(AJ32&lt;=0,0.9,MAX(0.7,0.9/(1+0.2*AJ32/$D$54)))</f>
        <v/>
      </c>
      <c r="AM32" s="46">
        <f>MIN(AL32*AJ32,$D$51)</f>
        <v/>
      </c>
      <c r="AN32" s="46">
        <f>MAX(0,AL32*AK32)</f>
        <v/>
      </c>
      <c r="AO32" s="46">
        <f>IF(AP32&gt;0,-AN32/AP32,-1E+9)</f>
        <v/>
      </c>
      <c r="AP32" s="46">
        <f>AL32*AJ32</f>
        <v/>
      </c>
    </row>
    <row r="33" ht="13.5" customHeight="1">
      <c r="B33" s="9" t="inlineStr">
        <is>
          <t>Estribo del núcleo</t>
        </is>
      </c>
      <c r="C33" s="22" t="inlineStr">
        <is>
          <t>Øe</t>
        </is>
      </c>
      <c r="D33" s="31" t="inlineStr">
        <is>
          <t>3/8"</t>
        </is>
      </c>
      <c r="E33" s="24" t="inlineStr"/>
      <c r="AD33" s="45" t="n">
        <v>26</v>
      </c>
      <c r="AE33" s="45">
        <f>IF(24&lt;=$D$46,$D$25+$D$44*24/($D$46+1),0)</f>
        <v/>
      </c>
      <c r="AF33" s="45">
        <f>IF(24&lt;=$D$46,$D$45*$D$32*$D$40/$D$46,0)</f>
        <v/>
      </c>
      <c r="AH33" s="46">
        <f>0.675*$D$36</f>
        <v/>
      </c>
      <c r="AI33" s="46">
        <f>MIN($D$49*AH33,$D$36)</f>
        <v/>
      </c>
      <c r="AJ33" s="46">
        <f>(0.85*$D$11*AI33*$D$14+SUMPRODUCT($AF$8:$AF$37,(ABS(6000*(1-$AE$8:$AE$37/AH33)+$D$12)-ABS(6000*(1-$AE$8:$AE$37/AH33)-$D$12))/2-0.85*$D$11*($AE$8:$AE$37&lt;AI33)))/1000</f>
        <v/>
      </c>
      <c r="AK33" s="46">
        <f>(0.85*$D$11*AI33*$D$14*($D$36/2-AI33/2)+SUMPRODUCT($AF$8:$AF$37,(ABS(6000*(1-$AE$8:$AE$37/AH33)+$D$12)-ABS(6000*(1-$AE$8:$AE$37/AH33)-$D$12))/2-0.85*$D$11*($AE$8:$AE$37&lt;AI33),$D$36/2-$AE$8:$AE$37))/100000</f>
        <v/>
      </c>
      <c r="AL33" s="46">
        <f>IF(AJ33&lt;=0,0.9,MAX(0.7,0.9/(1+0.2*AJ33/$D$54)))</f>
        <v/>
      </c>
      <c r="AM33" s="46">
        <f>MIN(AL33*AJ33,$D$51)</f>
        <v/>
      </c>
      <c r="AN33" s="46">
        <f>MAX(0,AL33*AK33)</f>
        <v/>
      </c>
      <c r="AO33" s="46">
        <f>IF(AP33&gt;0,-AN33/AP33,-1E+9)</f>
        <v/>
      </c>
      <c r="AP33" s="46">
        <f>AL33*AJ33</f>
        <v/>
      </c>
    </row>
    <row r="34">
      <c r="AD34" s="45" t="n">
        <v>27</v>
      </c>
      <c r="AE34" s="45">
        <f>IF(25&lt;=$D$46,$D$25+$D$44*25/($D$46+1),0)</f>
        <v/>
      </c>
      <c r="AF34" s="45">
        <f>IF(25&lt;=$D$46,$D$45*$D$32*$D$40/$D$46,0)</f>
        <v/>
      </c>
      <c r="AH34" s="46">
        <f>0.7*$D$36</f>
        <v/>
      </c>
      <c r="AI34" s="46">
        <f>MIN($D$49*AH34,$D$36)</f>
        <v/>
      </c>
      <c r="AJ34" s="46">
        <f>(0.85*$D$11*AI34*$D$14+SUMPRODUCT($AF$8:$AF$37,(ABS(6000*(1-$AE$8:$AE$37/AH34)+$D$12)-ABS(6000*(1-$AE$8:$AE$37/AH34)-$D$12))/2-0.85*$D$11*($AE$8:$AE$37&lt;AI34)))/1000</f>
        <v/>
      </c>
      <c r="AK34" s="46">
        <f>(0.85*$D$11*AI34*$D$14*($D$36/2-AI34/2)+SUMPRODUCT($AF$8:$AF$37,(ABS(6000*(1-$AE$8:$AE$37/AH34)+$D$12)-ABS(6000*(1-$AE$8:$AE$37/AH34)-$D$12))/2-0.85*$D$11*($AE$8:$AE$37&lt;AI34),$D$36/2-$AE$8:$AE$37))/100000</f>
        <v/>
      </c>
      <c r="AL34" s="46">
        <f>IF(AJ34&lt;=0,0.9,MAX(0.7,0.9/(1+0.2*AJ34/$D$54)))</f>
        <v/>
      </c>
      <c r="AM34" s="46">
        <f>MIN(AL34*AJ34,$D$51)</f>
        <v/>
      </c>
      <c r="AN34" s="46">
        <f>MAX(0,AL34*AK34)</f>
        <v/>
      </c>
      <c r="AO34" s="46">
        <f>IF(AP34&gt;0,-AN34/AP34,-1E+9)</f>
        <v/>
      </c>
      <c r="AP34" s="46">
        <f>AL34*AJ34</f>
        <v/>
      </c>
    </row>
    <row r="35" ht="17" customHeight="1">
      <c r="B35" s="21" t="inlineStr">
        <is>
          <t>2. PROPIEDADES</t>
        </is>
      </c>
      <c r="AD35" s="45" t="n">
        <v>28</v>
      </c>
      <c r="AE35" s="45">
        <f>IF(26&lt;=$D$46,$D$25+$D$44*26/($D$46+1),0)</f>
        <v/>
      </c>
      <c r="AF35" s="45">
        <f>IF(26&lt;=$D$46,$D$45*$D$32*$D$40/$D$46,0)</f>
        <v/>
      </c>
      <c r="AH35" s="46">
        <f>0.75*$D$36</f>
        <v/>
      </c>
      <c r="AI35" s="46">
        <f>MIN($D$49*AH35,$D$36)</f>
        <v/>
      </c>
      <c r="AJ35" s="46">
        <f>(0.85*$D$11*AI35*$D$14+SUMPRODUCT($AF$8:$AF$37,(ABS(6000*(1-$AE$8:$AE$37/AH35)+$D$12)-ABS(6000*(1-$AE$8:$AE$37/AH35)-$D$12))/2-0.85*$D$11*($AE$8:$AE$37&lt;AI35)))/1000</f>
        <v/>
      </c>
      <c r="AK35" s="46">
        <f>(0.85*$D$11*AI35*$D$14*($D$36/2-AI35/2)+SUMPRODUCT($AF$8:$AF$37,(ABS(6000*(1-$AE$8:$AE$37/AH35)+$D$12)-ABS(6000*(1-$AE$8:$AE$37/AH35)-$D$12))/2-0.85*$D$11*($AE$8:$AE$37&lt;AI35),$D$36/2-$AE$8:$AE$37))/100000</f>
        <v/>
      </c>
      <c r="AL35" s="46">
        <f>IF(AJ35&lt;=0,0.9,MAX(0.7,0.9/(1+0.2*AJ35/$D$54)))</f>
        <v/>
      </c>
      <c r="AM35" s="46">
        <f>MIN(AL35*AJ35,$D$51)</f>
        <v/>
      </c>
      <c r="AN35" s="46">
        <f>MAX(0,AL35*AK35)</f>
        <v/>
      </c>
      <c r="AO35" s="46">
        <f>IF(AP35&gt;0,-AN35/AP35,-1E+9)</f>
        <v/>
      </c>
      <c r="AP35" s="46">
        <f>AL35*AJ35</f>
        <v/>
      </c>
    </row>
    <row r="36" ht="13.5" customHeight="1">
      <c r="B36" s="9" t="inlineStr">
        <is>
          <t>Longitud en cm</t>
        </is>
      </c>
      <c r="C36" s="22" t="inlineStr">
        <is>
          <t>lm</t>
        </is>
      </c>
      <c r="D36" s="28">
        <f>$D$13*100</f>
        <v/>
      </c>
      <c r="E36" s="24" t="inlineStr">
        <is>
          <t>cm</t>
        </is>
      </c>
      <c r="AD36" s="45" t="n">
        <v>29</v>
      </c>
      <c r="AE36" s="45">
        <f>$D$36-$D$25+$D$43</f>
        <v/>
      </c>
      <c r="AF36" s="45">
        <f>$D$26/2*$D$39</f>
        <v/>
      </c>
      <c r="AH36" s="46">
        <f>0.8*$D$36</f>
        <v/>
      </c>
      <c r="AI36" s="46">
        <f>MIN($D$49*AH36,$D$36)</f>
        <v/>
      </c>
      <c r="AJ36" s="46">
        <f>(0.85*$D$11*AI36*$D$14+SUMPRODUCT($AF$8:$AF$37,(ABS(6000*(1-$AE$8:$AE$37/AH36)+$D$12)-ABS(6000*(1-$AE$8:$AE$37/AH36)-$D$12))/2-0.85*$D$11*($AE$8:$AE$37&lt;AI36)))/1000</f>
        <v/>
      </c>
      <c r="AK36" s="46">
        <f>(0.85*$D$11*AI36*$D$14*($D$36/2-AI36/2)+SUMPRODUCT($AF$8:$AF$37,(ABS(6000*(1-$AE$8:$AE$37/AH36)+$D$12)-ABS(6000*(1-$AE$8:$AE$37/AH36)-$D$12))/2-0.85*$D$11*($AE$8:$AE$37&lt;AI36),$D$36/2-$AE$8:$AE$37))/100000</f>
        <v/>
      </c>
      <c r="AL36" s="46">
        <f>IF(AJ36&lt;=0,0.9,MAX(0.7,0.9/(1+0.2*AJ36/$D$54)))</f>
        <v/>
      </c>
      <c r="AM36" s="46">
        <f>MIN(AL36*AJ36,$D$51)</f>
        <v/>
      </c>
      <c r="AN36" s="46">
        <f>MAX(0,AL36*AK36)</f>
        <v/>
      </c>
      <c r="AO36" s="46">
        <f>IF(AP36&gt;0,-AN36/AP36,-1E+9)</f>
        <v/>
      </c>
      <c r="AP36" s="46">
        <f>AL36*AJ36</f>
        <v/>
      </c>
    </row>
    <row r="37" ht="13.5" customHeight="1">
      <c r="B37" s="9" t="inlineStr">
        <is>
          <t>Área de corte Acw = t·lm</t>
        </is>
      </c>
      <c r="C37" s="22" t="inlineStr">
        <is>
          <t>Acw</t>
        </is>
      </c>
      <c r="D37" s="28">
        <f>$D$14*$D$36</f>
        <v/>
      </c>
      <c r="E37" s="24" t="inlineStr">
        <is>
          <t>cm²</t>
        </is>
      </c>
      <c r="AD37" s="45" t="n">
        <v>30</v>
      </c>
      <c r="AE37" s="45">
        <f>$D$36-$D$43</f>
        <v/>
      </c>
      <c r="AF37" s="45">
        <f>$D$26/2*$D$39</f>
        <v/>
      </c>
      <c r="AH37" s="46">
        <f>0.85*$D$36</f>
        <v/>
      </c>
      <c r="AI37" s="46">
        <f>MIN($D$49*AH37,$D$36)</f>
        <v/>
      </c>
      <c r="AJ37" s="46">
        <f>(0.85*$D$11*AI37*$D$14+SUMPRODUCT($AF$8:$AF$37,(ABS(6000*(1-$AE$8:$AE$37/AH37)+$D$12)-ABS(6000*(1-$AE$8:$AE$37/AH37)-$D$12))/2-0.85*$D$11*($AE$8:$AE$37&lt;AI37)))/1000</f>
        <v/>
      </c>
      <c r="AK37" s="46">
        <f>(0.85*$D$11*AI37*$D$14*($D$36/2-AI37/2)+SUMPRODUCT($AF$8:$AF$37,(ABS(6000*(1-$AE$8:$AE$37/AH37)+$D$12)-ABS(6000*(1-$AE$8:$AE$37/AH37)-$D$12))/2-0.85*$D$11*($AE$8:$AE$37&lt;AI37),$D$36/2-$AE$8:$AE$37))/100000</f>
        <v/>
      </c>
      <c r="AL37" s="46">
        <f>IF(AJ37&lt;=0,0.9,MAX(0.7,0.9/(1+0.2*AJ37/$D$54)))</f>
        <v/>
      </c>
      <c r="AM37" s="46">
        <f>MIN(AL37*AJ37,$D$51)</f>
        <v/>
      </c>
      <c r="AN37" s="46">
        <f>MAX(0,AL37*AK37)</f>
        <v/>
      </c>
      <c r="AO37" s="46">
        <f>IF(AP37&gt;0,-AN37/AP37,-1E+9)</f>
        <v/>
      </c>
      <c r="AP37" s="46">
        <f>AL37*AJ37</f>
        <v/>
      </c>
    </row>
    <row r="38" ht="13.5" customHeight="1">
      <c r="B38" s="9" t="inlineStr">
        <is>
          <t>Diámetro de la varilla del núcleo</t>
        </is>
      </c>
      <c r="C38" s="22" t="inlineStr">
        <is>
          <t>db</t>
        </is>
      </c>
      <c r="D38" s="39">
        <f>INDEX(BAR_DB,MATCH($D$27,BAR_NOM,0))</f>
        <v/>
      </c>
      <c r="E38" s="24" t="inlineStr">
        <is>
          <t>cm</t>
        </is>
      </c>
      <c r="AH38" s="46">
        <f>0.9*$D$36</f>
        <v/>
      </c>
      <c r="AI38" s="46">
        <f>MIN($D$49*AH38,$D$36)</f>
        <v/>
      </c>
      <c r="AJ38" s="46">
        <f>(0.85*$D$11*AI38*$D$14+SUMPRODUCT($AF$8:$AF$37,(ABS(6000*(1-$AE$8:$AE$37/AH38)+$D$12)-ABS(6000*(1-$AE$8:$AE$37/AH38)-$D$12))/2-0.85*$D$11*($AE$8:$AE$37&lt;AI38)))/1000</f>
        <v/>
      </c>
      <c r="AK38" s="46">
        <f>(0.85*$D$11*AI38*$D$14*($D$36/2-AI38/2)+SUMPRODUCT($AF$8:$AF$37,(ABS(6000*(1-$AE$8:$AE$37/AH38)+$D$12)-ABS(6000*(1-$AE$8:$AE$37/AH38)-$D$12))/2-0.85*$D$11*($AE$8:$AE$37&lt;AI38),$D$36/2-$AE$8:$AE$37))/100000</f>
        <v/>
      </c>
      <c r="AL38" s="46">
        <f>IF(AJ38&lt;=0,0.9,MAX(0.7,0.9/(1+0.2*AJ38/$D$54)))</f>
        <v/>
      </c>
      <c r="AM38" s="46">
        <f>MIN(AL38*AJ38,$D$51)</f>
        <v/>
      </c>
      <c r="AN38" s="46">
        <f>MAX(0,AL38*AK38)</f>
        <v/>
      </c>
      <c r="AO38" s="46">
        <f>IF(AP38&gt;0,-AN38/AP38,-1E+9)</f>
        <v/>
      </c>
      <c r="AP38" s="46">
        <f>AL38*AJ38</f>
        <v/>
      </c>
    </row>
    <row r="39" ht="13.5" customHeight="1">
      <c r="B39" s="9" t="inlineStr">
        <is>
          <t>Área de la varilla del núcleo</t>
        </is>
      </c>
      <c r="C39" s="22" t="inlineStr">
        <is>
          <t>Ab</t>
        </is>
      </c>
      <c r="D39" s="34">
        <f>INDEX(BAR_AS,MATCH($D$27,BAR_NOM,0))</f>
        <v/>
      </c>
      <c r="E39" s="24" t="inlineStr">
        <is>
          <t>cm²</t>
        </is>
      </c>
      <c r="AH39" s="46">
        <f>0.95*$D$36</f>
        <v/>
      </c>
      <c r="AI39" s="46">
        <f>MIN($D$49*AH39,$D$36)</f>
        <v/>
      </c>
      <c r="AJ39" s="46">
        <f>(0.85*$D$11*AI39*$D$14+SUMPRODUCT($AF$8:$AF$37,(ABS(6000*(1-$AE$8:$AE$37/AH39)+$D$12)-ABS(6000*(1-$AE$8:$AE$37/AH39)-$D$12))/2-0.85*$D$11*($AE$8:$AE$37&lt;AI39)))/1000</f>
        <v/>
      </c>
      <c r="AK39" s="46">
        <f>(0.85*$D$11*AI39*$D$14*($D$36/2-AI39/2)+SUMPRODUCT($AF$8:$AF$37,(ABS(6000*(1-$AE$8:$AE$37/AH39)+$D$12)-ABS(6000*(1-$AE$8:$AE$37/AH39)-$D$12))/2-0.85*$D$11*($AE$8:$AE$37&lt;AI39),$D$36/2-$AE$8:$AE$37))/100000</f>
        <v/>
      </c>
      <c r="AL39" s="46">
        <f>IF(AJ39&lt;=0,0.9,MAX(0.7,0.9/(1+0.2*AJ39/$D$54)))</f>
        <v/>
      </c>
      <c r="AM39" s="46">
        <f>MIN(AL39*AJ39,$D$51)</f>
        <v/>
      </c>
      <c r="AN39" s="46">
        <f>MAX(0,AL39*AK39)</f>
        <v/>
      </c>
      <c r="AO39" s="46">
        <f>IF(AP39&gt;0,-AN39/AP39,-1E+9)</f>
        <v/>
      </c>
      <c r="AP39" s="46">
        <f>AL39*AJ39</f>
        <v/>
      </c>
    </row>
    <row r="40" ht="13.5" customHeight="1">
      <c r="B40" s="9" t="inlineStr">
        <is>
          <t>Área de la varilla vertical</t>
        </is>
      </c>
      <c r="C40" s="22" t="inlineStr">
        <is>
          <t>Ab</t>
        </is>
      </c>
      <c r="D40" s="34">
        <f>INDEX(BAR_AS,MATCH($D$28,BAR_NOM,0))</f>
        <v/>
      </c>
      <c r="E40" s="24" t="inlineStr">
        <is>
          <t>cm²</t>
        </is>
      </c>
      <c r="AH40" s="46">
        <f>1.0*$D$36</f>
        <v/>
      </c>
      <c r="AI40" s="46">
        <f>MIN($D$49*AH40,$D$36)</f>
        <v/>
      </c>
      <c r="AJ40" s="46">
        <f>(0.85*$D$11*AI40*$D$14+SUMPRODUCT($AF$8:$AF$37,(ABS(6000*(1-$AE$8:$AE$37/AH40)+$D$12)-ABS(6000*(1-$AE$8:$AE$37/AH40)-$D$12))/2-0.85*$D$11*($AE$8:$AE$37&lt;AI40)))/1000</f>
        <v/>
      </c>
      <c r="AK40" s="46">
        <f>(0.85*$D$11*AI40*$D$14*($D$36/2-AI40/2)+SUMPRODUCT($AF$8:$AF$37,(ABS(6000*(1-$AE$8:$AE$37/AH40)+$D$12)-ABS(6000*(1-$AE$8:$AE$37/AH40)-$D$12))/2-0.85*$D$11*($AE$8:$AE$37&lt;AI40),$D$36/2-$AE$8:$AE$37))/100000</f>
        <v/>
      </c>
      <c r="AL40" s="46">
        <f>IF(AJ40&lt;=0,0.9,MAX(0.7,0.9/(1+0.2*AJ40/$D$54)))</f>
        <v/>
      </c>
      <c r="AM40" s="46">
        <f>MIN(AL40*AJ40,$D$51)</f>
        <v/>
      </c>
      <c r="AN40" s="46">
        <f>MAX(0,AL40*AK40)</f>
        <v/>
      </c>
      <c r="AO40" s="46">
        <f>IF(AP40&gt;0,-AN40/AP40,-1E+9)</f>
        <v/>
      </c>
      <c r="AP40" s="46">
        <f>AL40*AJ40</f>
        <v/>
      </c>
    </row>
    <row r="41" ht="13.5" customHeight="1">
      <c r="B41" s="9" t="inlineStr">
        <is>
          <t>Área de la varilla horizontal</t>
        </is>
      </c>
      <c r="C41" s="22" t="inlineStr">
        <is>
          <t>Ab</t>
        </is>
      </c>
      <c r="D41" s="34">
        <f>INDEX(BAR_AS,MATCH($D$30,BAR_NOM,0))</f>
        <v/>
      </c>
      <c r="E41" s="24" t="inlineStr">
        <is>
          <t>cm²</t>
        </is>
      </c>
      <c r="AH41" s="46">
        <f>1.1*$D$36</f>
        <v/>
      </c>
      <c r="AI41" s="46">
        <f>MIN($D$49*AH41,$D$36)</f>
        <v/>
      </c>
      <c r="AJ41" s="46">
        <f>(0.85*$D$11*AI41*$D$14+SUMPRODUCT($AF$8:$AF$37,(ABS(6000*(1-$AE$8:$AE$37/AH41)+$D$12)-ABS(6000*(1-$AE$8:$AE$37/AH41)-$D$12))/2-0.85*$D$11*($AE$8:$AE$37&lt;AI41)))/1000</f>
        <v/>
      </c>
      <c r="AK41" s="46">
        <f>(0.85*$D$11*AI41*$D$14*($D$36/2-AI41/2)+SUMPRODUCT($AF$8:$AF$37,(ABS(6000*(1-$AE$8:$AE$37/AH41)+$D$12)-ABS(6000*(1-$AE$8:$AE$37/AH41)-$D$12))/2-0.85*$D$11*($AE$8:$AE$37&lt;AI41),$D$36/2-$AE$8:$AE$37))/100000</f>
        <v/>
      </c>
      <c r="AL41" s="46">
        <f>IF(AJ41&lt;=0,0.9,MAX(0.7,0.9/(1+0.2*AJ41/$D$54)))</f>
        <v/>
      </c>
      <c r="AM41" s="46">
        <f>MIN(AL41*AJ41,$D$51)</f>
        <v/>
      </c>
      <c r="AN41" s="46">
        <f>MAX(0,AL41*AK41)</f>
        <v/>
      </c>
      <c r="AO41" s="46">
        <f>IF(AP41&gt;0,-AN41/AP41,-1E+9)</f>
        <v/>
      </c>
      <c r="AP41" s="46">
        <f>AL41*AJ41</f>
        <v/>
      </c>
    </row>
    <row r="42" ht="13.5" customHeight="1">
      <c r="B42" s="9" t="inlineStr">
        <is>
          <t>Diámetro del estribo</t>
        </is>
      </c>
      <c r="C42" s="22" t="inlineStr">
        <is>
          <t>dbe</t>
        </is>
      </c>
      <c r="D42" s="39">
        <f>INDEX(BAR_DB,MATCH($D$33,BAR_NOM,0))</f>
        <v/>
      </c>
      <c r="E42" s="24" t="inlineStr">
        <is>
          <t>cm</t>
        </is>
      </c>
      <c r="AH42" s="46">
        <f>1.2*$D$36</f>
        <v/>
      </c>
      <c r="AI42" s="46">
        <f>MIN($D$49*AH42,$D$36)</f>
        <v/>
      </c>
      <c r="AJ42" s="46">
        <f>(0.85*$D$11*AI42*$D$14+SUMPRODUCT($AF$8:$AF$37,(ABS(6000*(1-$AE$8:$AE$37/AH42)+$D$12)-ABS(6000*(1-$AE$8:$AE$37/AH42)-$D$12))/2-0.85*$D$11*($AE$8:$AE$37&lt;AI42)))/1000</f>
        <v/>
      </c>
      <c r="AK42" s="46">
        <f>(0.85*$D$11*AI42*$D$14*($D$36/2-AI42/2)+SUMPRODUCT($AF$8:$AF$37,(ABS(6000*(1-$AE$8:$AE$37/AH42)+$D$12)-ABS(6000*(1-$AE$8:$AE$37/AH42)-$D$12))/2-0.85*$D$11*($AE$8:$AE$37&lt;AI42),$D$36/2-$AE$8:$AE$37))/100000</f>
        <v/>
      </c>
      <c r="AL42" s="46">
        <f>IF(AJ42&lt;=0,0.9,MAX(0.7,0.9/(1+0.2*AJ42/$D$54)))</f>
        <v/>
      </c>
      <c r="AM42" s="46">
        <f>MIN(AL42*AJ42,$D$51)</f>
        <v/>
      </c>
      <c r="AN42" s="46">
        <f>MAX(0,AL42*AK42)</f>
        <v/>
      </c>
      <c r="AO42" s="46">
        <f>IF(AP42&gt;0,-AN42/AP42,-1E+9)</f>
        <v/>
      </c>
      <c r="AP42" s="46">
        <f>AL42*AJ42</f>
        <v/>
      </c>
    </row>
    <row r="43" ht="24" customHeight="1">
      <c r="B43" s="9" t="inlineStr">
        <is>
          <t>Recubrimiento al centro de las varillas del núcleo</t>
        </is>
      </c>
      <c r="C43" s="22" t="inlineStr">
        <is>
          <t>rc</t>
        </is>
      </c>
      <c r="D43" s="34">
        <f>$D$24+$D$42+$D$38/2</f>
        <v/>
      </c>
      <c r="E43" s="24" t="inlineStr">
        <is>
          <t>cm</t>
        </is>
      </c>
      <c r="AH43" s="46">
        <f>1.35*$D$36</f>
        <v/>
      </c>
      <c r="AI43" s="46">
        <f>MIN($D$49*AH43,$D$36)</f>
        <v/>
      </c>
      <c r="AJ43" s="46">
        <f>(0.85*$D$11*AI43*$D$14+SUMPRODUCT($AF$8:$AF$37,(ABS(6000*(1-$AE$8:$AE$37/AH43)+$D$12)-ABS(6000*(1-$AE$8:$AE$37/AH43)-$D$12))/2-0.85*$D$11*($AE$8:$AE$37&lt;AI43)))/1000</f>
        <v/>
      </c>
      <c r="AK43" s="46">
        <f>(0.85*$D$11*AI43*$D$14*($D$36/2-AI43/2)+SUMPRODUCT($AF$8:$AF$37,(ABS(6000*(1-$AE$8:$AE$37/AH43)+$D$12)-ABS(6000*(1-$AE$8:$AE$37/AH43)-$D$12))/2-0.85*$D$11*($AE$8:$AE$37&lt;AI43),$D$36/2-$AE$8:$AE$37))/100000</f>
        <v/>
      </c>
      <c r="AL43" s="46">
        <f>IF(AJ43&lt;=0,0.9,MAX(0.7,0.9/(1+0.2*AJ43/$D$54)))</f>
        <v/>
      </c>
      <c r="AM43" s="46">
        <f>MIN(AL43*AJ43,$D$51)</f>
        <v/>
      </c>
      <c r="AN43" s="46">
        <f>MAX(0,AL43*AK43)</f>
        <v/>
      </c>
      <c r="AO43" s="46">
        <f>IF(AP43&gt;0,-AN43/AP43,-1E+9)</f>
        <v/>
      </c>
      <c r="AP43" s="46">
        <f>AL43*AJ43</f>
        <v/>
      </c>
    </row>
    <row r="44" ht="13.5" customHeight="1">
      <c r="B44" s="9" t="inlineStr">
        <is>
          <t>Longitud del alma entre núcleos</t>
        </is>
      </c>
      <c r="C44" s="22" t="inlineStr">
        <is>
          <t>Lw</t>
        </is>
      </c>
      <c r="D44" s="34">
        <f>MAX(0,$D$36-2*$D$25)</f>
        <v/>
      </c>
      <c r="E44" s="24" t="inlineStr">
        <is>
          <t>cm</t>
        </is>
      </c>
      <c r="AH44" s="46">
        <f>1.5*$D$36</f>
        <v/>
      </c>
      <c r="AI44" s="46">
        <f>MIN($D$49*AH44,$D$36)</f>
        <v/>
      </c>
      <c r="AJ44" s="46">
        <f>(0.85*$D$11*AI44*$D$14+SUMPRODUCT($AF$8:$AF$37,(ABS(6000*(1-$AE$8:$AE$37/AH44)+$D$12)-ABS(6000*(1-$AE$8:$AE$37/AH44)-$D$12))/2-0.85*$D$11*($AE$8:$AE$37&lt;AI44)))/1000</f>
        <v/>
      </c>
      <c r="AK44" s="46">
        <f>(0.85*$D$11*AI44*$D$14*($D$36/2-AI44/2)+SUMPRODUCT($AF$8:$AF$37,(ABS(6000*(1-$AE$8:$AE$37/AH44)+$D$12)-ABS(6000*(1-$AE$8:$AE$37/AH44)-$D$12))/2-0.85*$D$11*($AE$8:$AE$37&lt;AI44),$D$36/2-$AE$8:$AE$37))/100000</f>
        <v/>
      </c>
      <c r="AL44" s="46">
        <f>IF(AJ44&lt;=0,0.9,MAX(0.7,0.9/(1+0.2*AJ44/$D$54)))</f>
        <v/>
      </c>
      <c r="AM44" s="46">
        <f>MIN(AL44*AJ44,$D$51)</f>
        <v/>
      </c>
      <c r="AN44" s="46">
        <f>MAX(0,AL44*AK44)</f>
        <v/>
      </c>
      <c r="AO44" s="46">
        <f>IF(AP44&gt;0,-AN44/AP44,-1E+9)</f>
        <v/>
      </c>
      <c r="AP44" s="46">
        <f>AL44*AJ44</f>
        <v/>
      </c>
    </row>
    <row r="45" ht="13.5" customHeight="1">
      <c r="B45" s="9" t="inlineStr">
        <is>
          <t>Líneas de varillas verticales en el alma</t>
        </is>
      </c>
      <c r="C45" s="22" t="inlineStr">
        <is>
          <t>n</t>
        </is>
      </c>
      <c r="D45" s="28">
        <f>MAX(0,CEILING($D$44/$D$29,1)-1)</f>
        <v/>
      </c>
      <c r="E45" s="24" t="inlineStr"/>
      <c r="AH45" s="46">
        <f>1.75*$D$36</f>
        <v/>
      </c>
      <c r="AI45" s="46">
        <f>MIN($D$49*AH45,$D$36)</f>
        <v/>
      </c>
      <c r="AJ45" s="46">
        <f>(0.85*$D$11*AI45*$D$14+SUMPRODUCT($AF$8:$AF$37,(ABS(6000*(1-$AE$8:$AE$37/AH45)+$D$12)-ABS(6000*(1-$AE$8:$AE$37/AH45)-$D$12))/2-0.85*$D$11*($AE$8:$AE$37&lt;AI45)))/1000</f>
        <v/>
      </c>
      <c r="AK45" s="46">
        <f>(0.85*$D$11*AI45*$D$14*($D$36/2-AI45/2)+SUMPRODUCT($AF$8:$AF$37,(ABS(6000*(1-$AE$8:$AE$37/AH45)+$D$12)-ABS(6000*(1-$AE$8:$AE$37/AH45)-$D$12))/2-0.85*$D$11*($AE$8:$AE$37&lt;AI45),$D$36/2-$AE$8:$AE$37))/100000</f>
        <v/>
      </c>
      <c r="AL45" s="46">
        <f>IF(AJ45&lt;=0,0.9,MAX(0.7,0.9/(1+0.2*AJ45/$D$54)))</f>
        <v/>
      </c>
      <c r="AM45" s="46">
        <f>MIN(AL45*AJ45,$D$51)</f>
        <v/>
      </c>
      <c r="AN45" s="46">
        <f>MAX(0,AL45*AK45)</f>
        <v/>
      </c>
      <c r="AO45" s="46">
        <f>IF(AP45&gt;0,-AN45/AP45,-1E+9)</f>
        <v/>
      </c>
      <c r="AP45" s="46">
        <f>AL45*AJ45</f>
        <v/>
      </c>
    </row>
    <row r="46" ht="13.5" customHeight="1">
      <c r="B46" s="9" t="inlineStr">
        <is>
          <t>Capas de cálculo del alma (máx. 26)</t>
        </is>
      </c>
      <c r="C46" s="22" t="inlineStr"/>
      <c r="D46" s="28">
        <f>MIN(26,$D$45)</f>
        <v/>
      </c>
      <c r="E46" s="24" t="inlineStr"/>
      <c r="AH46" s="46">
        <f>2.0*$D$36</f>
        <v/>
      </c>
      <c r="AI46" s="46">
        <f>MIN($D$49*AH46,$D$36)</f>
        <v/>
      </c>
      <c r="AJ46" s="46">
        <f>(0.85*$D$11*AI46*$D$14+SUMPRODUCT($AF$8:$AF$37,(ABS(6000*(1-$AE$8:$AE$37/AH46)+$D$12)-ABS(6000*(1-$AE$8:$AE$37/AH46)-$D$12))/2-0.85*$D$11*($AE$8:$AE$37&lt;AI46)))/1000</f>
        <v/>
      </c>
      <c r="AK46" s="46">
        <f>(0.85*$D$11*AI46*$D$14*($D$36/2-AI46/2)+SUMPRODUCT($AF$8:$AF$37,(ABS(6000*(1-$AE$8:$AE$37/AH46)+$D$12)-ABS(6000*(1-$AE$8:$AE$37/AH46)-$D$12))/2-0.85*$D$11*($AE$8:$AE$37&lt;AI46),$D$36/2-$AE$8:$AE$37))/100000</f>
        <v/>
      </c>
      <c r="AL46" s="46">
        <f>IF(AJ46&lt;=0,0.9,MAX(0.7,0.9/(1+0.2*AJ46/$D$54)))</f>
        <v/>
      </c>
      <c r="AM46" s="46">
        <f>MIN(AL46*AJ46,$D$51)</f>
        <v/>
      </c>
      <c r="AN46" s="46">
        <f>MAX(0,AL46*AK46)</f>
        <v/>
      </c>
      <c r="AO46" s="46">
        <f>IF(AP46&gt;0,-AN46/AP46,-1E+9)</f>
        <v/>
      </c>
      <c r="AP46" s="46">
        <f>AL46*AJ46</f>
        <v/>
      </c>
    </row>
    <row r="47" ht="13.5" customHeight="1">
      <c r="B47" s="9" t="inlineStr">
        <is>
          <t>Acero vertical total</t>
        </is>
      </c>
      <c r="C47" s="22" t="inlineStr">
        <is>
          <t>Ast</t>
        </is>
      </c>
      <c r="D47" s="34">
        <f>2*$D$26*$D$39+$D$45*$D$32*$D$40</f>
        <v/>
      </c>
      <c r="E47" s="24" t="inlineStr">
        <is>
          <t>cm²</t>
        </is>
      </c>
      <c r="AH47" s="46">
        <f>3.0*$D$36</f>
        <v/>
      </c>
      <c r="AI47" s="46">
        <f>MIN($D$49*AH47,$D$36)</f>
        <v/>
      </c>
      <c r="AJ47" s="46">
        <f>(0.85*$D$11*AI47*$D$14+SUMPRODUCT($AF$8:$AF$37,(ABS(6000*(1-$AE$8:$AE$37/AH47)+$D$12)-ABS(6000*(1-$AE$8:$AE$37/AH47)-$D$12))/2-0.85*$D$11*($AE$8:$AE$37&lt;AI47)))/1000</f>
        <v/>
      </c>
      <c r="AK47" s="46">
        <f>(0.85*$D$11*AI47*$D$14*($D$36/2-AI47/2)+SUMPRODUCT($AF$8:$AF$37,(ABS(6000*(1-$AE$8:$AE$37/AH47)+$D$12)-ABS(6000*(1-$AE$8:$AE$37/AH47)-$D$12))/2-0.85*$D$11*($AE$8:$AE$37&lt;AI47),$D$36/2-$AE$8:$AE$37))/100000</f>
        <v/>
      </c>
      <c r="AL47" s="46">
        <f>IF(AJ47&lt;=0,0.9,MAX(0.7,0.9/(1+0.2*AJ47/$D$54)))</f>
        <v/>
      </c>
      <c r="AM47" s="46">
        <f>MIN(AL47*AJ47,$D$51)</f>
        <v/>
      </c>
      <c r="AN47" s="46">
        <f>MAX(0,AL47*AK47)</f>
        <v/>
      </c>
      <c r="AO47" s="46">
        <f>IF(AP47&gt;0,-AN47/AP47,-1E+9)</f>
        <v/>
      </c>
      <c r="AP47" s="46">
        <f>AL47*AJ47</f>
        <v/>
      </c>
    </row>
    <row r="48" ht="13.5" customHeight="1">
      <c r="B48" s="9" t="inlineStr">
        <is>
          <t>Área bruta</t>
        </is>
      </c>
      <c r="C48" s="22" t="inlineStr">
        <is>
          <t>Ag</t>
        </is>
      </c>
      <c r="D48" s="28">
        <f>$D$14*$D$36</f>
        <v/>
      </c>
      <c r="E48" s="24" t="inlineStr">
        <is>
          <t>cm²</t>
        </is>
      </c>
      <c r="AH48" s="46">
        <f>10.0*$D$36</f>
        <v/>
      </c>
      <c r="AI48" s="46">
        <f>MIN($D$49*AH48,$D$36)</f>
        <v/>
      </c>
      <c r="AJ48" s="46">
        <f>(0.85*$D$11*AI48*$D$14+SUMPRODUCT($AF$8:$AF$37,(ABS(6000*(1-$AE$8:$AE$37/AH48)+$D$12)-ABS(6000*(1-$AE$8:$AE$37/AH48)-$D$12))/2-0.85*$D$11*($AE$8:$AE$37&lt;AI48)))/1000</f>
        <v/>
      </c>
      <c r="AK48" s="46">
        <f>(0.85*$D$11*AI48*$D$14*($D$36/2-AI48/2)+SUMPRODUCT($AF$8:$AF$37,(ABS(6000*(1-$AE$8:$AE$37/AH48)+$D$12)-ABS(6000*(1-$AE$8:$AE$37/AH48)-$D$12))/2-0.85*$D$11*($AE$8:$AE$37&lt;AI48),$D$36/2-$AE$8:$AE$37))/100000</f>
        <v/>
      </c>
      <c r="AL48" s="46">
        <f>IF(AJ48&lt;=0,0.9,MAX(0.7,0.9/(1+0.2*AJ48/$D$54)))</f>
        <v/>
      </c>
      <c r="AM48" s="46">
        <f>MIN(AL48*AJ48,$D$51)</f>
        <v/>
      </c>
      <c r="AN48" s="46">
        <f>MAX(0,AL48*AK48)</f>
        <v/>
      </c>
      <c r="AO48" s="46">
        <f>IF(AP48&gt;0,-AN48/AP48,-1E+9)</f>
        <v/>
      </c>
      <c r="AP48" s="46">
        <f>AL48*AJ48</f>
        <v/>
      </c>
    </row>
    <row r="49" ht="13.5" customHeight="1">
      <c r="B49" s="9" t="inlineStr">
        <is>
          <t>Factor β1</t>
        </is>
      </c>
      <c r="C49" s="22" t="inlineStr">
        <is>
          <t>β1</t>
        </is>
      </c>
      <c r="D49" s="39">
        <f>IF($D$11&lt;=280,0.85,MAX(0.65,0.85-0.05*($D$11-280)/70))</f>
        <v/>
      </c>
      <c r="E49" s="24" t="inlineStr"/>
    </row>
    <row r="50" ht="13.5" customHeight="1">
      <c r="B50" s="9" t="inlineStr">
        <is>
          <t>Po = 0.85f'c(Ag − Ast) + fy·Ast</t>
        </is>
      </c>
      <c r="C50" s="22" t="inlineStr">
        <is>
          <t>Po</t>
        </is>
      </c>
      <c r="D50" s="34">
        <f>(0.85*$D$11*($D$48-$D$47)+$D$12*$D$47)/1000</f>
        <v/>
      </c>
      <c r="E50" s="24" t="inlineStr">
        <is>
          <t>t</t>
        </is>
      </c>
    </row>
    <row r="51" ht="13.5" customHeight="1">
      <c r="B51" s="9" t="inlineStr">
        <is>
          <t>φPn máx = 0.80·0.70·Po</t>
        </is>
      </c>
      <c r="C51" s="22" t="inlineStr">
        <is>
          <t>φPnmáx</t>
        </is>
      </c>
      <c r="D51" s="34">
        <f>0.8*0.7*$D$50</f>
        <v/>
      </c>
      <c r="E51" s="24" t="inlineStr">
        <is>
          <t>t</t>
        </is>
      </c>
    </row>
    <row r="52" ht="13.5" customHeight="1">
      <c r="B52" s="9" t="inlineStr">
        <is>
          <t>t ≥ hu/25 y t ≥ 15 cm (21.9.3.2)</t>
        </is>
      </c>
      <c r="C52" s="29">
        <f>IF($D$14&gt;=MAX($D$16*100/25,15),"CUMPLE","NO CUMPLE")</f>
        <v/>
      </c>
      <c r="D52" s="30" t="n"/>
      <c r="E52" s="30" t="n"/>
    </row>
    <row r="53" ht="13.5" customHeight="1">
      <c r="B53" s="9" t="inlineStr">
        <is>
          <t>Carga balanceada</t>
        </is>
      </c>
      <c r="C53" s="22" t="inlineStr">
        <is>
          <t>Pb</t>
        </is>
      </c>
      <c r="D53" s="34">
        <f>(0.85*$D$11*MIN($D$49*(6000*MAX($AE$8:$AE$37)/(6000+$D$12)),$D$36)*$D$14+SUMPRODUCT($AF$8:$AF$37,(ABS(6000*(1-$AE$8:$AE$37/(6000*MAX($AE$8:$AE$37)/(6000+$D$12)))+$D$12)-ABS(6000*(1-$AE$8:$AE$37/(6000*MAX($AE$8:$AE$37)/(6000+$D$12)))-$D$12))/2-0.85*$D$11*($AE$8:$AE$37&lt;MIN($D$49*(6000*MAX($AE$8:$AE$37)/(6000+$D$12)),$D$36))))/1000</f>
        <v/>
      </c>
      <c r="E53" s="24" t="inlineStr">
        <is>
          <t>t</t>
        </is>
      </c>
    </row>
    <row r="54" ht="13.5" customHeight="1">
      <c r="B54" s="9" t="inlineStr">
        <is>
          <t>Límite de transición de φ</t>
        </is>
      </c>
      <c r="C54" s="22" t="inlineStr"/>
      <c r="D54" s="34">
        <f>MAX(0.001,MIN(0.1*$D$11*$D$48/1000,0.7*$D$53))</f>
        <v/>
      </c>
      <c r="E54" s="24" t="inlineStr">
        <is>
          <t>t</t>
        </is>
      </c>
    </row>
    <row r="56" ht="17" customHeight="1">
      <c r="B56" s="21" t="inlineStr">
        <is>
          <t>3. FLEXOCOMPRESIÓN</t>
        </is>
      </c>
    </row>
    <row r="57" ht="13.5" customHeight="1">
      <c r="B57" s="9" t="inlineStr">
        <is>
          <t>Pu ≤ φPn máx</t>
        </is>
      </c>
      <c r="C57" s="29">
        <f>IF($D$19&lt;=$D$51,"CUMPLE","NO CUMPLE")</f>
        <v/>
      </c>
      <c r="D57" s="30" t="n"/>
      <c r="E57" s="30" t="n"/>
    </row>
    <row r="58" ht="13.5" customHeight="1">
      <c r="B58" s="9" t="inlineStr">
        <is>
          <t>Índice en el diagrama</t>
        </is>
      </c>
      <c r="C58" s="22" t="inlineStr"/>
      <c r="D58" s="28">
        <f>IFERROR(MATCH($D$19,$AM$9:$AM$48,1),0)</f>
        <v/>
      </c>
      <c r="E58" s="24" t="inlineStr"/>
    </row>
    <row r="59" ht="13.5" customHeight="1">
      <c r="B59" s="9" t="inlineStr">
        <is>
          <t>φMn para Pu</t>
        </is>
      </c>
      <c r="C59" s="22" t="inlineStr">
        <is>
          <t>φMn</t>
        </is>
      </c>
      <c r="D59" s="34">
        <f>IF($D$58&lt;=0,INDEX($AN$9:$AN$48,1),IF($D$58&gt;=40,INDEX($AN$9:$AN$48,40),INDEX($AN$9:$AN$48,$D$58)+(INDEX($AN$9:$AN$48,$D$58+1)-INDEX($AN$9:$AN$48,$D$58))*($D$19-INDEX($AM$9:$AM$48,$D$58))/MAX(1E-9,INDEX($AM$9:$AM$48,$D$58+1)-INDEX($AM$9:$AM$48,$D$58))))</f>
        <v/>
      </c>
      <c r="E59" s="24" t="inlineStr">
        <is>
          <t>t·m</t>
        </is>
      </c>
    </row>
    <row r="60" ht="24" customHeight="1">
      <c r="B60" s="9" t="inlineStr">
        <is>
          <t>Mua ≤ φMn</t>
        </is>
      </c>
      <c r="C60" s="29">
        <f>IF($D$20&lt;=$D$59,"CUMPLE","NO CUMPLE")</f>
        <v/>
      </c>
      <c r="D60" s="30" t="n"/>
      <c r="E60" s="30" t="n"/>
      <c r="F60" s="27" t="inlineStr">
        <is>
          <t>Si no cumple: más acero en los núcleos o mayor longitud</t>
        </is>
      </c>
    </row>
    <row r="61" ht="13.5" customHeight="1">
      <c r="B61" s="9" t="inlineStr">
        <is>
          <t>Índice nominal</t>
        </is>
      </c>
      <c r="C61" s="22" t="inlineStr"/>
      <c r="D61" s="28">
        <f>IFERROR(MATCH($D$19,$AJ$9:$AJ$48,1),0)</f>
        <v/>
      </c>
      <c r="E61" s="24" t="inlineStr"/>
    </row>
    <row r="62" ht="13.5" customHeight="1">
      <c r="B62" s="9" t="inlineStr">
        <is>
          <t>Mn nominal para Pu</t>
        </is>
      </c>
      <c r="C62" s="22" t="inlineStr">
        <is>
          <t>Mn</t>
        </is>
      </c>
      <c r="D62" s="34">
        <f>IF($D$61&lt;=0,INDEX($AK$9:$AK$48,1),IF($D$61&gt;=40,INDEX($AK$9:$AK$48,40),INDEX($AK$9:$AK$48,$D$61)+(INDEX($AK$9:$AK$48,$D$61+1)-INDEX($AK$9:$AK$48,$D$61))*($D$19-INDEX($AJ$9:$AJ$48,$D$61))/MAX(1E-9,INDEX($AJ$9:$AJ$48,$D$61+1)-INDEX($AJ$9:$AJ$48,$D$61))))</f>
        <v/>
      </c>
      <c r="E62" s="24" t="inlineStr">
        <is>
          <t>t·m</t>
        </is>
      </c>
    </row>
    <row r="63" ht="13.5" customHeight="1">
      <c r="B63" s="9" t="inlineStr">
        <is>
          <t>Profundidad del eje neutro c para Pu</t>
        </is>
      </c>
      <c r="C63" s="22" t="inlineStr">
        <is>
          <t>c</t>
        </is>
      </c>
      <c r="D63" s="34">
        <f>IF($D$61&lt;=0,INDEX($AH$9:$AH$48,1),IF($D$61&gt;=40,INDEX($AH$9:$AH$48,40),INDEX($AH$9:$AH$48,$D$61)+(INDEX($AH$9:$AH$48,$D$61+1)-INDEX($AH$9:$AH$48,$D$61))*($D$19-INDEX($AJ$9:$AJ$48,$D$61))/MAX(1E-9,INDEX($AJ$9:$AJ$48,$D$61+1)-INDEX($AJ$9:$AJ$48,$D$61))))</f>
        <v/>
      </c>
      <c r="E63" s="24" t="inlineStr">
        <is>
          <t>cm</t>
        </is>
      </c>
    </row>
    <row r="65" ht="17" customHeight="1">
      <c r="B65" s="21" t="inlineStr">
        <is>
          <t>4. CORTANTE (E.060 11.10 y 21.9.5.3)</t>
        </is>
      </c>
    </row>
    <row r="66" ht="13.5" customHeight="1">
      <c r="B66" s="9" t="inlineStr">
        <is>
          <t>Amplificación Mn/Mua (≤ R)</t>
        </is>
      </c>
      <c r="C66" s="22" t="inlineStr">
        <is>
          <t>Mn/Mua</t>
        </is>
      </c>
      <c r="D66" s="34">
        <f>MIN($D$17,MAX(1,$D$62/$D$20))</f>
        <v/>
      </c>
      <c r="E66" s="24" t="inlineStr"/>
    </row>
    <row r="67" ht="13.5" customHeight="1">
      <c r="B67" s="9" t="inlineStr">
        <is>
          <t>CORTANTE DE DISEÑO Vu = Vua·Mn/Mua</t>
        </is>
      </c>
      <c r="C67" s="22" t="inlineStr">
        <is>
          <t>Vu</t>
        </is>
      </c>
      <c r="D67" s="34">
        <f>$D$21*$D$66</f>
        <v/>
      </c>
      <c r="E67" s="24" t="inlineStr">
        <is>
          <t>t</t>
        </is>
      </c>
    </row>
    <row r="68" ht="13.5" customHeight="1">
      <c r="B68" s="9" t="inlineStr">
        <is>
          <t>Coeficiente αc (hm/lm)</t>
        </is>
      </c>
      <c r="C68" s="22" t="inlineStr">
        <is>
          <t>αc</t>
        </is>
      </c>
      <c r="D68" s="39">
        <f>IF($D$15/$D$13&lt;=1.5,0.8,IF($D$15/$D$13&gt;=2,0.53,0.8-(0.8-0.53)*($D$15/$D$13-1.5)/0.5))</f>
        <v/>
      </c>
      <c r="E68" s="24" t="inlineStr"/>
      <c r="F68" s="27" t="inlineStr">
        <is>
          <t>0.25/0.17 MPa = 0.80/0.53 kgf/cm²</t>
        </is>
      </c>
    </row>
    <row r="69" ht="13.5" customHeight="1">
      <c r="B69" s="9" t="inlineStr">
        <is>
          <t>Vc = αc·√f'c·Acw (reducido si Pu &lt; 0)</t>
        </is>
      </c>
      <c r="C69" s="22" t="inlineStr">
        <is>
          <t>Vc</t>
        </is>
      </c>
      <c r="D69" s="34">
        <f>$D$68*SQRT($D$11)*$D$37/1000*MAX(0,1-0.0284*MAX(0,-$D$19)*1000/$D$48)</f>
        <v/>
      </c>
      <c r="E69" s="24" t="inlineStr">
        <is>
          <t>t</t>
        </is>
      </c>
      <c r="F69" s="27" t="inlineStr">
        <is>
          <t>11.10.5 y 11.10.6</t>
        </is>
      </c>
    </row>
    <row r="70" ht="13.5" customHeight="1">
      <c r="B70" s="9" t="inlineStr">
        <is>
          <t>Vu/φ ≤ Vn máx = 2.6·√f'c·Acw</t>
        </is>
      </c>
      <c r="C70" s="29">
        <f>IF($D$67/0.85&lt;=2.6*SQRT($D$11)*$D$37/1000,"CUMPLE","NO CUMPLE")</f>
        <v/>
      </c>
      <c r="D70" s="30" t="n"/>
      <c r="E70" s="30" t="n"/>
      <c r="F70" s="27" t="inlineStr">
        <is>
          <t>11.10.4: aumente t o lm</t>
        </is>
      </c>
    </row>
    <row r="71" ht="13.5" customHeight="1">
      <c r="B71" s="9" t="inlineStr">
        <is>
          <t>Vs = Vu/φ − Vc</t>
        </is>
      </c>
      <c r="C71" s="22" t="inlineStr">
        <is>
          <t>Vs</t>
        </is>
      </c>
      <c r="D71" s="34">
        <f>MAX(0,$D$67/0.85-$D$69)</f>
        <v/>
      </c>
      <c r="E71" s="24" t="inlineStr">
        <is>
          <t>t</t>
        </is>
      </c>
    </row>
    <row r="72" ht="13.5" customHeight="1">
      <c r="B72" s="9" t="inlineStr">
        <is>
          <t>ρh por resistencia = Vs/(Acw·fy)</t>
        </is>
      </c>
      <c r="C72" s="22" t="inlineStr">
        <is>
          <t>ρh</t>
        </is>
      </c>
      <c r="D72" s="40">
        <f>$D$71*1000/($D$37*$D$12)</f>
        <v/>
      </c>
      <c r="E72" s="24" t="inlineStr"/>
    </row>
    <row r="73" ht="24" customHeight="1">
      <c r="B73" s="9" t="inlineStr">
        <is>
          <t>ρh mínimo</t>
        </is>
      </c>
      <c r="C73" s="22" t="inlineStr">
        <is>
          <t>ρh mín</t>
        </is>
      </c>
      <c r="D73" s="49">
        <f>IF($D$67&lt;0.27*SQRT($D$11)*$D$37/1000,0.002,0.0025)</f>
        <v/>
      </c>
      <c r="E73" s="24" t="inlineStr"/>
      <c r="F73" s="27" t="inlineStr">
        <is>
          <t>0.0020 si Vu &lt; 0.27√f'c·Acw; si no, 0.0025 (11.10.7/8)</t>
        </is>
      </c>
    </row>
    <row r="74" ht="13.5" customHeight="1">
      <c r="B74" s="9" t="inlineStr">
        <is>
          <t>ρh requerido</t>
        </is>
      </c>
      <c r="C74" s="22" t="inlineStr">
        <is>
          <t>ρh</t>
        </is>
      </c>
      <c r="D74" s="40">
        <f>MAX($D$72,$D$73)</f>
        <v/>
      </c>
      <c r="E74" s="24" t="inlineStr"/>
    </row>
    <row r="75" ht="13.5" customHeight="1">
      <c r="B75" s="9" t="inlineStr">
        <is>
          <t>ρh colocado</t>
        </is>
      </c>
      <c r="C75" s="22" t="inlineStr">
        <is>
          <t>ρh</t>
        </is>
      </c>
      <c r="D75" s="40">
        <f>$D$32*$D$41/($D$14*$D$31)</f>
        <v/>
      </c>
      <c r="E75" s="24" t="inlineStr"/>
    </row>
    <row r="76" ht="13.5" customHeight="1">
      <c r="B76" s="9" t="inlineStr">
        <is>
          <t>ρh colocado ≥ requerido y s ≤ 3t, 40 cm</t>
        </is>
      </c>
      <c r="C76" s="29">
        <f>IF(AND($D$75&gt;=$D$74,$D$31&lt;=MIN(3*$D$14,40)),"CUMPLE","NO CUMPLE")</f>
        <v/>
      </c>
      <c r="D76" s="30" t="n"/>
      <c r="E76" s="30" t="n"/>
    </row>
    <row r="77" ht="13.5" customHeight="1">
      <c r="B77" s="9" t="inlineStr">
        <is>
          <t>ρv mínimo</t>
        </is>
      </c>
      <c r="C77" s="22" t="inlineStr">
        <is>
          <t>ρv mín</t>
        </is>
      </c>
      <c r="D77" s="49">
        <f>IF($D$67&lt;0.27*SQRT($D$11)*$D$37/1000,0.0015,MIN($D$74,MAX(0.0025,0.0025+0.5*(2.5-$D$15/$D$13)*($D$74-0.0025))))</f>
        <v/>
      </c>
      <c r="E77" s="24" t="inlineStr"/>
      <c r="F77" s="27" t="inlineStr">
        <is>
          <t>11.10.10; si hm/lm ≤ 2: ρv ≥ ρh (21.9.5.2)</t>
        </is>
      </c>
    </row>
    <row r="78" ht="13.5" customHeight="1">
      <c r="B78" s="9" t="inlineStr">
        <is>
          <t>ρv requerido</t>
        </is>
      </c>
      <c r="C78" s="22" t="inlineStr">
        <is>
          <t>ρv</t>
        </is>
      </c>
      <c r="D78" s="40">
        <f>IF($D$15/$D$13&lt;=2,MAX($D$77,$D$74),$D$77)</f>
        <v/>
      </c>
      <c r="E78" s="24" t="inlineStr"/>
    </row>
    <row r="79" ht="13.5" customHeight="1">
      <c r="B79" s="9" t="inlineStr">
        <is>
          <t>ρv colocado en el alma</t>
        </is>
      </c>
      <c r="C79" s="22" t="inlineStr">
        <is>
          <t>ρv</t>
        </is>
      </c>
      <c r="D79" s="40">
        <f>$D$32*$D$40/($D$14*$D$29)</f>
        <v/>
      </c>
      <c r="E79" s="24" t="inlineStr"/>
    </row>
    <row r="80" ht="13.5" customHeight="1">
      <c r="B80" s="9" t="inlineStr">
        <is>
          <t>ρv colocado ≥ requerido y s ≤ 3t, 40 cm</t>
        </is>
      </c>
      <c r="C80" s="29">
        <f>IF(AND($D$79&gt;=$D$78,$D$29&lt;=MIN(3*$D$14,40)),"CUMPLE","NO CUMPLE")</f>
        <v/>
      </c>
      <c r="D80" s="30" t="n"/>
      <c r="E80" s="30" t="n"/>
    </row>
    <row r="81" ht="13.5" customHeight="1">
      <c r="B81" s="9" t="inlineStr">
        <is>
          <t>Número de capas suficiente</t>
        </is>
      </c>
      <c r="C81" s="29">
        <f>IF(OR($D$32=2,AND($D$14&lt;20,$D$67&lt;=0.53*SQRT($D$11)*$D$37/1000)),"CUMPLE","NO CUMPLE")</f>
        <v/>
      </c>
      <c r="D81" s="30" t="n"/>
      <c r="E81" s="30" t="n"/>
      <c r="F81" s="27" t="inlineStr">
        <is>
          <t>Use 2 capas</t>
        </is>
      </c>
    </row>
    <row r="83" ht="17" customHeight="1">
      <c r="B83" s="21" t="inlineStr">
        <is>
          <t>5. ELEMENTOS DE BORDE (E.060 21.9.7)</t>
        </is>
      </c>
    </row>
    <row r="84" ht="13.5" customHeight="1">
      <c r="B84" s="9" t="inlineStr">
        <is>
          <t>Deriva global δu/hm (≥ 0.005)</t>
        </is>
      </c>
      <c r="C84" s="22" t="inlineStr">
        <is>
          <t>δu/hm</t>
        </is>
      </c>
      <c r="D84" s="49">
        <f>MAX(0.005,$D$22/($D$15*100))</f>
        <v/>
      </c>
      <c r="E84" s="24" t="inlineStr"/>
    </row>
    <row r="85" ht="13.5" customHeight="1">
      <c r="B85" s="9" t="inlineStr">
        <is>
          <t>c límite = lm/(600·δu/hm)</t>
        </is>
      </c>
      <c r="C85" s="22" t="inlineStr">
        <is>
          <t>clím</t>
        </is>
      </c>
      <c r="D85" s="26">
        <f>$D$36/(600*$D$84)</f>
        <v/>
      </c>
      <c r="E85" s="24" t="inlineStr">
        <is>
          <t>cm</t>
        </is>
      </c>
      <c r="F85" s="27" t="inlineStr">
        <is>
          <t>21.9.7.4</t>
        </is>
      </c>
    </row>
    <row r="86" ht="13.5" customHeight="1">
      <c r="B86" s="9" t="inlineStr">
        <is>
          <t>Esfuerzo de compresión Pu/A + Mu·(lm/2)/I</t>
        </is>
      </c>
      <c r="C86" s="22" t="inlineStr">
        <is>
          <t>σ</t>
        </is>
      </c>
      <c r="D86" s="26">
        <f>$D$19*1000/$D$48+$D$20*100000*($D$36/2)/($D$14*$D$36^3/12)</f>
        <v/>
      </c>
      <c r="E86" s="24" t="inlineStr">
        <is>
          <t>kgf/cm²</t>
        </is>
      </c>
      <c r="F86" s="27" t="inlineStr">
        <is>
          <t>21.9.7.5: límite 0.2f'c</t>
        </is>
      </c>
    </row>
    <row r="87" ht="13.5" customHeight="1">
      <c r="B87" s="9" t="inlineStr">
        <is>
          <t>¿Requiere elemento de borde confinado?</t>
        </is>
      </c>
      <c r="C87" s="22" t="inlineStr"/>
      <c r="D87" s="44">
        <f>IF(OR($D$63&gt;=$D$85,$D$86&gt;0.2*$D$11),"SÍ","NO")</f>
        <v/>
      </c>
      <c r="E87" s="30" t="n"/>
      <c r="F87" s="27" t="inlineStr">
        <is>
          <t>Por desplazamiento o por esfuerzo</t>
        </is>
      </c>
    </row>
    <row r="88" ht="24" customHeight="1">
      <c r="B88" s="9" t="inlineStr">
        <is>
          <t>Longitud del elemento de borde máx(c − 0.1lm, c/2)</t>
        </is>
      </c>
      <c r="C88" s="22" t="inlineStr">
        <is>
          <t>Lb</t>
        </is>
      </c>
      <c r="D88" s="26">
        <f>MAX($D$63-0.1*$D$36,$D$63/2)</f>
        <v/>
      </c>
      <c r="E88" s="24" t="inlineStr">
        <is>
          <t>cm</t>
        </is>
      </c>
      <c r="F88" s="27" t="inlineStr">
        <is>
          <t>21.9.7.6(a)</t>
        </is>
      </c>
    </row>
    <row r="89" ht="13.5" customHeight="1">
      <c r="B89" s="9" t="inlineStr">
        <is>
          <t>Núcleo colocado ≥ longitud requerida</t>
        </is>
      </c>
      <c r="C89" s="29">
        <f>IF(OR($D$87="NO",$D$25&gt;=$D$88),"CUMPLE","NO CUMPLE")</f>
        <v/>
      </c>
      <c r="D89" s="30" t="n"/>
      <c r="E89" s="30" t="n"/>
      <c r="F89" s="27" t="inlineStr">
        <is>
          <t>Si no cumple: alargue el núcleo</t>
        </is>
      </c>
    </row>
    <row r="90" ht="13.5" customHeight="1">
      <c r="B90" s="9" t="inlineStr">
        <is>
          <t>Espaciamiento de estribos en el borde</t>
        </is>
      </c>
      <c r="C90" s="22" t="inlineStr">
        <is>
          <t>s</t>
        </is>
      </c>
      <c r="D90" s="26">
        <f>FLOOR(MIN(10*$D$38,MIN($D$14,$D$25),25),2.5)</f>
        <v/>
      </c>
      <c r="E90" s="24" t="inlineStr">
        <is>
          <t>cm</t>
        </is>
      </c>
      <c r="F90" s="27" t="inlineStr">
        <is>
          <t>10db, menor dimensión, 25 cm</t>
        </is>
      </c>
    </row>
    <row r="91" ht="24" customHeight="1">
      <c r="B91" s="27" t="inlineStr">
        <is>
          <t>E.060 21.9.7.6 no exige Ash en los elementos de borde: se usan los diámetros de estribo de 21.4.4.4 (Ø 3/8" hasta barras de 1") y s ≤ 10db, menor dimensión, 25 cm.</t>
        </is>
      </c>
    </row>
    <row r="92" ht="13.5" customHeight="1">
      <c r="B92" s="9" t="inlineStr">
        <is>
          <t>ESTRIBOS DEL NÚCLEO</t>
        </is>
      </c>
      <c r="C92" s="22" t="inlineStr"/>
      <c r="D92" s="44">
        <f>"□ Ø "&amp;$D$33&amp;" @ "&amp;FIXED($D$90/100,IF(MOD(ROUND($D$90*10,0),50)=0,2,3))&amp;" m"</f>
        <v/>
      </c>
      <c r="E92" s="30" t="n"/>
      <c r="F92" s="30" t="n"/>
    </row>
    <row r="94" ht="17" customHeight="1">
      <c r="B94" s="21" t="inlineStr">
        <is>
          <t>6. RESUMEN</t>
        </is>
      </c>
    </row>
    <row r="95" ht="13.5" customHeight="1">
      <c r="B95" s="9" t="inlineStr">
        <is>
          <t>Núcleos de borde</t>
        </is>
      </c>
      <c r="C95" s="22" t="inlineStr"/>
      <c r="D95" s="44">
        <f>$D$26&amp;" Ø "&amp;$D$27&amp;" en "&amp;FIXED($D$25,0)&amp;" cm, a cada extremo"</f>
        <v/>
      </c>
      <c r="E95" s="30" t="n"/>
      <c r="F95" s="30" t="n"/>
    </row>
    <row r="96" ht="13.5" customHeight="1">
      <c r="B96" s="9" t="inlineStr">
        <is>
          <t>Alma</t>
        </is>
      </c>
      <c r="C96" s="22" t="inlineStr"/>
      <c r="D96" s="44">
        <f>"Vertical Ø "&amp;$D$28&amp;" @ "&amp;FIXED($D$29/100,IF(MOD(ROUND($D$29*10,0),50)=0,2,3))&amp;" · Horizontal Ø "&amp;$D$30&amp;" @ "&amp;FIXED($D$31/100,IF(MOD(ROUND($D$31*10,0),50)=0,2,3))&amp;" m ("&amp;$D$32&amp;" capas)"</f>
        <v/>
      </c>
      <c r="E96" s="30" t="n"/>
      <c r="F96" s="30" t="n"/>
    </row>
    <row r="97" ht="13.5" customHeight="1">
      <c r="B97" s="9" t="inlineStr">
        <is>
          <t>ESTADO GENERAL DEL DISEÑO</t>
        </is>
      </c>
      <c r="C97" s="29">
        <f>IF(AND($C$52="CUMPLE",$C$57="CUMPLE",$C$60="CUMPLE",$C$70="CUMPLE",$C$76="CUMPLE",$C$80="CUMPLE",$C$81="CUMPLE",$C$89="CUMPLE"),"CUMPLE","NO CUMPLE")</f>
        <v/>
      </c>
      <c r="D97" s="30" t="n"/>
      <c r="E97" s="30" t="n"/>
      <c r="F97" s="27" t="inlineStr">
        <is>
          <t>Revise las líneas en rojo</t>
        </is>
      </c>
    </row>
    <row r="99" ht="17" customHeight="1">
      <c r="B99" s="21" t="inlineStr">
        <is>
          <t>7. DIAGRAMA DE INTERACCIÓN (punto rojo: Mua, Pu)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8">
    <mergeCell ref="B91:F91"/>
    <mergeCell ref="C80:E80"/>
    <mergeCell ref="C7:F7"/>
    <mergeCell ref="B56:F56"/>
    <mergeCell ref="C60:E60"/>
    <mergeCell ref="C3:F3"/>
    <mergeCell ref="C76:E76"/>
    <mergeCell ref="B2:F2"/>
    <mergeCell ref="C52:E52"/>
    <mergeCell ref="C6:F6"/>
    <mergeCell ref="C70:E70"/>
    <mergeCell ref="B1:F1"/>
    <mergeCell ref="D92:F92"/>
    <mergeCell ref="C5:F5"/>
    <mergeCell ref="C81:E81"/>
    <mergeCell ref="D87:E87"/>
    <mergeCell ref="C57:E57"/>
    <mergeCell ref="C4:F4"/>
    <mergeCell ref="B10:F10"/>
    <mergeCell ref="B99:F99"/>
    <mergeCell ref="B65:F65"/>
    <mergeCell ref="B83:F83"/>
    <mergeCell ref="C89:E89"/>
    <mergeCell ref="C97:E97"/>
    <mergeCell ref="B94:F94"/>
    <mergeCell ref="D96:F96"/>
    <mergeCell ref="D95:F95"/>
    <mergeCell ref="B35:F35"/>
  </mergeCells>
  <conditionalFormatting sqref="B1:F120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2">
    <dataValidation sqref="D27 D28 D30 D33" showDropDown="0" showInputMessage="0" showErrorMessage="0" allowBlank="0" errorTitle="Valor no válido" error="Elija un valor de la lista" type="list">
      <formula1>=BAR_NOM</formula1>
    </dataValidation>
    <dataValidation sqref="D32" showDropDown="0" showInputMessage="0" showErrorMessage="0" allowBlank="0" errorTitle="Valor no válido" error="Elija un valor de la lista" type="list">
      <formula1>"1,2"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98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F94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</cols>
  <sheetData>
    <row r="1" ht="24" customHeight="1">
      <c r="B1" s="14" t="inlineStr">
        <is>
          <t>LOSA MACIZA EN DOS DIRECCIONES · NTE E.060 13.7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Paño A-B / 1-2, techo 1er piso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</row>
    <row r="10" ht="17" customHeight="1">
      <c r="B10" s="21" t="inlineStr">
        <is>
          <t>1. DATOS DE ENTRADA</t>
        </is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</row>
    <row r="13" ht="13.5" customHeight="1">
      <c r="B13" s="9" t="inlineStr">
        <is>
          <t>Luz libre en una dirección</t>
        </is>
      </c>
      <c r="C13" s="22" t="inlineStr">
        <is>
          <t>L1</t>
        </is>
      </c>
      <c r="D13" s="25" t="n">
        <v>4</v>
      </c>
      <c r="E13" s="24" t="inlineStr">
        <is>
          <t>m</t>
        </is>
      </c>
    </row>
    <row r="14" ht="13.5" customHeight="1">
      <c r="B14" s="9" t="inlineStr">
        <is>
          <t>Luz libre en la otra dirección</t>
        </is>
      </c>
      <c r="C14" s="22" t="inlineStr">
        <is>
          <t>L2</t>
        </is>
      </c>
      <c r="D14" s="25" t="n">
        <v>5</v>
      </c>
      <c r="E14" s="24" t="inlineStr">
        <is>
          <t>m</t>
        </is>
      </c>
      <c r="F14" s="27" t="inlineStr">
        <is>
          <t>A = menor, B = mayor</t>
        </is>
      </c>
    </row>
    <row r="15" ht="13.5" customHeight="1">
      <c r="B15" s="9" t="inlineStr">
        <is>
          <t>Condición de bordes</t>
        </is>
      </c>
      <c r="C15" s="22" t="inlineStr"/>
      <c r="D15" s="31" t="inlineStr">
        <is>
          <t>Caso 4 · 2 bordes adyacentes continuos</t>
        </is>
      </c>
      <c r="E15" s="32" t="n"/>
      <c r="F15" s="33" t="n"/>
    </row>
    <row r="16" ht="13.5" customHeight="1">
      <c r="B16" s="9" t="inlineStr">
        <is>
          <t>Espesor de la losa</t>
        </is>
      </c>
      <c r="C16" s="22" t="inlineStr">
        <is>
          <t>h</t>
        </is>
      </c>
      <c r="D16" s="35" t="n">
        <v>15</v>
      </c>
      <c r="E16" s="24" t="inlineStr">
        <is>
          <t>cm</t>
        </is>
      </c>
    </row>
    <row r="17" ht="13.5" customHeight="1">
      <c r="B17" s="9" t="inlineStr">
        <is>
          <t>Acabados</t>
        </is>
      </c>
      <c r="C17" s="22" t="inlineStr">
        <is>
          <t>pt</t>
        </is>
      </c>
      <c r="D17" s="23" t="n">
        <v>100</v>
      </c>
      <c r="E17" s="24" t="inlineStr">
        <is>
          <t>kgf/m²</t>
        </is>
      </c>
    </row>
    <row r="18" ht="13.5" customHeight="1">
      <c r="B18" s="9" t="inlineStr">
        <is>
          <t>Tabiquería repartida</t>
        </is>
      </c>
      <c r="C18" s="22" t="inlineStr">
        <is>
          <t>tab</t>
        </is>
      </c>
      <c r="D18" s="23" t="n">
        <v>100</v>
      </c>
      <c r="E18" s="24" t="inlineStr">
        <is>
          <t>kgf/m²</t>
        </is>
      </c>
    </row>
    <row r="19" ht="13.5" customHeight="1">
      <c r="B19" s="9" t="inlineStr">
        <is>
          <t>Uso (sobrecarga E.020)</t>
        </is>
      </c>
      <c r="C19" s="22" t="inlineStr"/>
      <c r="D19" s="31" t="inlineStr">
        <is>
          <t>Vivienda</t>
        </is>
      </c>
      <c r="E19" s="32" t="n"/>
      <c r="F19" s="33" t="n"/>
    </row>
    <row r="20" ht="13.5" customHeight="1">
      <c r="B20" s="9" t="inlineStr">
        <is>
          <t>Sobrecarga manual (si eligió «Otro»)</t>
        </is>
      </c>
      <c r="C20" s="22" t="inlineStr">
        <is>
          <t>s/c</t>
        </is>
      </c>
      <c r="D20" s="23" t="n">
        <v>0</v>
      </c>
      <c r="E20" s="24" t="inlineStr">
        <is>
          <t>kgf/m²</t>
        </is>
      </c>
    </row>
    <row r="21" ht="13.5" customHeight="1">
      <c r="B21" s="9" t="inlineStr">
        <is>
          <t>Varilla</t>
        </is>
      </c>
      <c r="C21" s="22" t="inlineStr">
        <is>
          <t>Ø</t>
        </is>
      </c>
      <c r="D21" s="31" t="inlineStr">
        <is>
          <t>3/8"</t>
        </is>
      </c>
      <c r="E21" s="24" t="inlineStr"/>
    </row>
    <row r="22" ht="13.5" customHeight="1">
      <c r="B22" s="9" t="inlineStr">
        <is>
          <t>Recubrimiento libre</t>
        </is>
      </c>
      <c r="C22" s="22" t="inlineStr">
        <is>
          <t>r</t>
        </is>
      </c>
      <c r="D22" s="35" t="n">
        <v>2</v>
      </c>
      <c r="E22" s="24" t="inlineStr">
        <is>
          <t>cm</t>
        </is>
      </c>
      <c r="F22" s="27" t="inlineStr">
        <is>
          <t>E.060 7.7.1: losas 2 cm</t>
        </is>
      </c>
    </row>
    <row r="24" ht="17" customHeight="1">
      <c r="B24" s="21" t="inlineStr">
        <is>
          <t>2. CARGAS Y COEFICIENTES</t>
        </is>
      </c>
    </row>
    <row r="25" ht="13.5" customHeight="1">
      <c r="B25" s="9" t="inlineStr">
        <is>
          <t>Luz corta A</t>
        </is>
      </c>
      <c r="C25" s="22" t="inlineStr">
        <is>
          <t>A</t>
        </is>
      </c>
      <c r="D25" s="34">
        <f>MIN($D$13,$D$14)</f>
        <v/>
      </c>
      <c r="E25" s="24" t="inlineStr">
        <is>
          <t>m</t>
        </is>
      </c>
    </row>
    <row r="26" ht="13.5" customHeight="1">
      <c r="B26" s="9" t="inlineStr">
        <is>
          <t>Luz larga B</t>
        </is>
      </c>
      <c r="C26" s="22" t="inlineStr">
        <is>
          <t>B</t>
        </is>
      </c>
      <c r="D26" s="34">
        <f>MAX($D$13,$D$14)</f>
        <v/>
      </c>
      <c r="E26" s="24" t="inlineStr">
        <is>
          <t>m</t>
        </is>
      </c>
    </row>
    <row r="27" ht="13.5" customHeight="1">
      <c r="B27" s="9" t="inlineStr">
        <is>
          <t>Relación m = A/B</t>
        </is>
      </c>
      <c r="C27" s="22" t="inlineStr">
        <is>
          <t>m</t>
        </is>
      </c>
      <c r="D27" s="39">
        <f>$D$25/$D$26</f>
        <v/>
      </c>
      <c r="E27" s="24" t="inlineStr"/>
    </row>
    <row r="28" ht="24" customHeight="1">
      <c r="B28" s="9" t="inlineStr">
        <is>
          <t>m ≥ 0.50 (B/A ≤ 2, 13.7.1)</t>
        </is>
      </c>
      <c r="C28" s="29">
        <f>IF($D$27&gt;=0.5,"CUMPLE","NO CUMPLE")</f>
        <v/>
      </c>
      <c r="D28" s="30" t="n"/>
      <c r="E28" s="30" t="n"/>
      <c r="F28" s="27" t="inlineStr">
        <is>
          <t>Si no cumple: diséñela como losa en una dirección</t>
        </is>
      </c>
    </row>
    <row r="29" ht="13.5" customHeight="1">
      <c r="B29" s="9" t="inlineStr">
        <is>
          <t>Número de caso</t>
        </is>
      </c>
      <c r="C29" s="22" t="inlineStr"/>
      <c r="D29" s="28">
        <f>VALUE(MID($D$15,6,1))</f>
        <v/>
      </c>
      <c r="E29" s="24" t="inlineStr"/>
    </row>
    <row r="30" ht="13.5" customHeight="1">
      <c r="B30" s="9" t="inlineStr">
        <is>
          <t>m para las tablas (0.50 a 1.00)</t>
        </is>
      </c>
      <c r="C30" s="22" t="inlineStr"/>
      <c r="D30" s="39">
        <f>MAX(0.5,MIN(1,$D$27))</f>
        <v/>
      </c>
      <c r="E30" s="24" t="inlineStr"/>
    </row>
    <row r="31" ht="13.5" customHeight="1">
      <c r="B31" s="9" t="inlineStr">
        <is>
          <t>Peso propio 2400·h</t>
        </is>
      </c>
      <c r="C31" s="22" t="inlineStr">
        <is>
          <t>pp</t>
        </is>
      </c>
      <c r="D31" s="28">
        <f>2400*$D$16/100</f>
        <v/>
      </c>
      <c r="E31" s="24" t="inlineStr">
        <is>
          <t>kgf/m²</t>
        </is>
      </c>
    </row>
    <row r="32" ht="13.5" customHeight="1">
      <c r="B32" s="9" t="inlineStr">
        <is>
          <t>Sobrecarga</t>
        </is>
      </c>
      <c r="C32" s="22" t="inlineStr">
        <is>
          <t>s/c</t>
        </is>
      </c>
      <c r="D32" s="28">
        <f>IF($D$19="Otro (ingresar valor manual)",$D$20,INDEX(USO_SC,MATCH($D$19,USO_NOM,0)))</f>
        <v/>
      </c>
      <c r="E32" s="24" t="inlineStr">
        <is>
          <t>kgf/m²</t>
        </is>
      </c>
    </row>
    <row r="33" ht="13.5" customHeight="1">
      <c r="B33" s="9" t="inlineStr">
        <is>
          <t>Carga muerta amplificada 1.4·CM</t>
        </is>
      </c>
      <c r="C33" s="22" t="inlineStr">
        <is>
          <t>wud</t>
        </is>
      </c>
      <c r="D33" s="39">
        <f>1.4*($D$31+$D$17+$D$18)/1000</f>
        <v/>
      </c>
      <c r="E33" s="24" t="inlineStr">
        <is>
          <t>t/m²</t>
        </is>
      </c>
    </row>
    <row r="34" ht="13.5" customHeight="1">
      <c r="B34" s="9" t="inlineStr">
        <is>
          <t>Carga viva amplificada 1.7·CV</t>
        </is>
      </c>
      <c r="C34" s="22" t="inlineStr">
        <is>
          <t>wul</t>
        </is>
      </c>
      <c r="D34" s="39">
        <f>1.7*$D$32/1000</f>
        <v/>
      </c>
      <c r="E34" s="24" t="inlineStr">
        <is>
          <t>t/m²</t>
        </is>
      </c>
    </row>
    <row r="35" ht="13.5" customHeight="1">
      <c r="B35" s="9" t="inlineStr">
        <is>
          <t>Carga última total</t>
        </is>
      </c>
      <c r="C35" s="22" t="inlineStr">
        <is>
          <t>wu</t>
        </is>
      </c>
      <c r="D35" s="39">
        <f>$D$33+$D$34</f>
        <v/>
      </c>
      <c r="E35" s="24" t="inlineStr">
        <is>
          <t>t/m²</t>
        </is>
      </c>
    </row>
    <row r="36" ht="13.5" customHeight="1">
      <c r="B36" s="9" t="inlineStr">
        <is>
          <t>CV ≤ 2·CM (servicio, 13.7.1)</t>
        </is>
      </c>
      <c r="C36" s="29">
        <f>IF($D$32&lt;=2*($D$31+$D$17+$D$18),"CUMPLE","REVISAR")</f>
        <v/>
      </c>
      <c r="D36" s="30" t="n"/>
      <c r="E36" s="30" t="n"/>
    </row>
    <row r="37" ht="13.5" customHeight="1">
      <c r="B37" s="9" t="inlineStr">
        <is>
          <t>Coeficiente Ca negativo</t>
        </is>
      </c>
      <c r="C37" s="22" t="inlineStr"/>
      <c r="D37" s="49">
        <f>INDEX(LNEG,MATCH($D$30,INDEX(LNEG,0,1),-1),(2*$D$29+0))+(INDEX(LNEG,MIN(MATCH($D$30,INDEX(LNEG,0,1),-1)+1,11),(2*$D$29+0))-INDEX(LNEG,MATCH($D$30,INDEX(LNEG,0,1),-1),(2*$D$29+0)))*IF(INDEX(INDEX(LNEG,0,1),MATCH($D$30,INDEX(LNEG,0,1),-1))=INDEX(INDEX(LNEG,0,1),MIN(MATCH($D$30,INDEX(LNEG,0,1),-1)+1,11)),0,(INDEX(INDEX(LNEG,0,1),MATCH($D$30,INDEX(LNEG,0,1),-1))-$D$30)/(INDEX(INDEX(LNEG,0,1),MATCH($D$30,INDEX(LNEG,0,1),-1))-INDEX(INDEX(LNEG,0,1),MIN(MATCH($D$30,INDEX(LNEG,0,1),-1)+1,11))))</f>
        <v/>
      </c>
      <c r="E37" s="24" t="inlineStr"/>
      <c r="F37" s="27" t="inlineStr">
        <is>
          <t>Tablas 13.1–13.3, interpolado</t>
        </is>
      </c>
    </row>
    <row r="38" ht="13.5" customHeight="1">
      <c r="B38" s="9" t="inlineStr">
        <is>
          <t>Coeficiente Cb negativo</t>
        </is>
      </c>
      <c r="C38" s="22" t="inlineStr"/>
      <c r="D38" s="49">
        <f>INDEX(LNEG,MATCH($D$30,INDEX(LNEG,0,1),-1),(2*$D$29+1))+(INDEX(LNEG,MIN(MATCH($D$30,INDEX(LNEG,0,1),-1)+1,11),(2*$D$29+1))-INDEX(LNEG,MATCH($D$30,INDEX(LNEG,0,1),-1),(2*$D$29+1)))*IF(INDEX(INDEX(LNEG,0,1),MATCH($D$30,INDEX(LNEG,0,1),-1))=INDEX(INDEX(LNEG,0,1),MIN(MATCH($D$30,INDEX(LNEG,0,1),-1)+1,11)),0,(INDEX(INDEX(LNEG,0,1),MATCH($D$30,INDEX(LNEG,0,1),-1))-$D$30)/(INDEX(INDEX(LNEG,0,1),MATCH($D$30,INDEX(LNEG,0,1),-1))-INDEX(INDEX(LNEG,0,1),MIN(MATCH($D$30,INDEX(LNEG,0,1),-1)+1,11))))</f>
        <v/>
      </c>
      <c r="E38" s="24" t="inlineStr"/>
    </row>
    <row r="39" ht="13.5" customHeight="1">
      <c r="B39" s="9" t="inlineStr">
        <is>
          <t>Coeficiente Ca positivo CM</t>
        </is>
      </c>
      <c r="C39" s="22" t="inlineStr"/>
      <c r="D39" s="49">
        <f>INDEX(LPCM,MATCH($D$30,INDEX(LPCM,0,1),-1),(2*$D$29+0))+(INDEX(LPCM,MIN(MATCH($D$30,INDEX(LPCM,0,1),-1)+1,11),(2*$D$29+0))-INDEX(LPCM,MATCH($D$30,INDEX(LPCM,0,1),-1),(2*$D$29+0)))*IF(INDEX(INDEX(LPCM,0,1),MATCH($D$30,INDEX(LPCM,0,1),-1))=INDEX(INDEX(LPCM,0,1),MIN(MATCH($D$30,INDEX(LPCM,0,1),-1)+1,11)),0,(INDEX(INDEX(LPCM,0,1),MATCH($D$30,INDEX(LPCM,0,1),-1))-$D$30)/(INDEX(INDEX(LPCM,0,1),MATCH($D$30,INDEX(LPCM,0,1),-1))-INDEX(INDEX(LPCM,0,1),MIN(MATCH($D$30,INDEX(LPCM,0,1),-1)+1,11))))</f>
        <v/>
      </c>
      <c r="E39" s="24" t="inlineStr"/>
    </row>
    <row r="40" ht="13.5" customHeight="1">
      <c r="B40" s="9" t="inlineStr">
        <is>
          <t>Coeficiente Cb positivo CM</t>
        </is>
      </c>
      <c r="C40" s="22" t="inlineStr"/>
      <c r="D40" s="49">
        <f>INDEX(LPCM,MATCH($D$30,INDEX(LPCM,0,1),-1),(2*$D$29+1))+(INDEX(LPCM,MIN(MATCH($D$30,INDEX(LPCM,0,1),-1)+1,11),(2*$D$29+1))-INDEX(LPCM,MATCH($D$30,INDEX(LPCM,0,1),-1),(2*$D$29+1)))*IF(INDEX(INDEX(LPCM,0,1),MATCH($D$30,INDEX(LPCM,0,1),-1))=INDEX(INDEX(LPCM,0,1),MIN(MATCH($D$30,INDEX(LPCM,0,1),-1)+1,11)),0,(INDEX(INDEX(LPCM,0,1),MATCH($D$30,INDEX(LPCM,0,1),-1))-$D$30)/(INDEX(INDEX(LPCM,0,1),MATCH($D$30,INDEX(LPCM,0,1),-1))-INDEX(INDEX(LPCM,0,1),MIN(MATCH($D$30,INDEX(LPCM,0,1),-1)+1,11))))</f>
        <v/>
      </c>
      <c r="E40" s="24" t="inlineStr"/>
    </row>
    <row r="41" ht="13.5" customHeight="1">
      <c r="B41" s="9" t="inlineStr">
        <is>
          <t>Coeficiente Ca positivo CV</t>
        </is>
      </c>
      <c r="C41" s="22" t="inlineStr"/>
      <c r="D41" s="49">
        <f>INDEX(LPCV,MATCH($D$30,INDEX(LPCV,0,1),-1),(2*$D$29+0))+(INDEX(LPCV,MIN(MATCH($D$30,INDEX(LPCV,0,1),-1)+1,11),(2*$D$29+0))-INDEX(LPCV,MATCH($D$30,INDEX(LPCV,0,1),-1),(2*$D$29+0)))*IF(INDEX(INDEX(LPCV,0,1),MATCH($D$30,INDEX(LPCV,0,1),-1))=INDEX(INDEX(LPCV,0,1),MIN(MATCH($D$30,INDEX(LPCV,0,1),-1)+1,11)),0,(INDEX(INDEX(LPCV,0,1),MATCH($D$30,INDEX(LPCV,0,1),-1))-$D$30)/(INDEX(INDEX(LPCV,0,1),MATCH($D$30,INDEX(LPCV,0,1),-1))-INDEX(INDEX(LPCV,0,1),MIN(MATCH($D$30,INDEX(LPCV,0,1),-1)+1,11))))</f>
        <v/>
      </c>
      <c r="E41" s="24" t="inlineStr"/>
    </row>
    <row r="42" ht="13.5" customHeight="1">
      <c r="B42" s="9" t="inlineStr">
        <is>
          <t>Coeficiente Cb positivo CV</t>
        </is>
      </c>
      <c r="C42" s="22" t="inlineStr"/>
      <c r="D42" s="49">
        <f>INDEX(LPCV,MATCH($D$30,INDEX(LPCV,0,1),-1),(2*$D$29+1))+(INDEX(LPCV,MIN(MATCH($D$30,INDEX(LPCV,0,1),-1)+1,11),(2*$D$29+1))-INDEX(LPCV,MATCH($D$30,INDEX(LPCV,0,1),-1),(2*$D$29+1)))*IF(INDEX(INDEX(LPCV,0,1),MATCH($D$30,INDEX(LPCV,0,1),-1))=INDEX(INDEX(LPCV,0,1),MIN(MATCH($D$30,INDEX(LPCV,0,1),-1)+1,11)),0,(INDEX(INDEX(LPCV,0,1),MATCH($D$30,INDEX(LPCV,0,1),-1))-$D$30)/(INDEX(INDEX(LPCV,0,1),MATCH($D$30,INDEX(LPCV,0,1),-1))-INDEX(INDEX(LPCV,0,1),MIN(MATCH($D$30,INDEX(LPCV,0,1),-1)+1,11))))</f>
        <v/>
      </c>
      <c r="E42" s="24" t="inlineStr"/>
    </row>
    <row r="44" ht="17" customHeight="1">
      <c r="B44" s="21" t="inlineStr">
        <is>
          <t>3. MOMENTOS (franja central, por metro de ancho)</t>
        </is>
      </c>
    </row>
    <row r="45" ht="13.5" customHeight="1">
      <c r="B45" s="9" t="inlineStr">
        <is>
          <t>Ma− borde continuo = Ca·wu·A²</t>
        </is>
      </c>
      <c r="C45" s="22" t="inlineStr">
        <is>
          <t>Ma−</t>
        </is>
      </c>
      <c r="D45" s="39">
        <f>$D$37*$D$35*$D$25^2</f>
        <v/>
      </c>
      <c r="E45" s="24" t="inlineStr">
        <is>
          <t>t·m/m</t>
        </is>
      </c>
      <c r="F45" s="27" t="inlineStr">
        <is>
          <t>0 = no hay borde largo continuo</t>
        </is>
      </c>
    </row>
    <row r="46" ht="13.5" customHeight="1">
      <c r="B46" s="9" t="inlineStr">
        <is>
          <t>Mb− borde continuo = Cb·wu·B²</t>
        </is>
      </c>
      <c r="C46" s="22" t="inlineStr">
        <is>
          <t>Mb−</t>
        </is>
      </c>
      <c r="D46" s="39">
        <f>$D$38*$D$35*$D$26^2</f>
        <v/>
      </c>
      <c r="E46" s="24" t="inlineStr">
        <is>
          <t>t·m/m</t>
        </is>
      </c>
      <c r="F46" s="27" t="inlineStr">
        <is>
          <t>0 = no hay borde corto continuo</t>
        </is>
      </c>
    </row>
    <row r="47" ht="13.5" customHeight="1">
      <c r="B47" s="9" t="inlineStr">
        <is>
          <t>Ma+ = (CaD·wud + CaL·wul)·A²</t>
        </is>
      </c>
      <c r="C47" s="22" t="inlineStr">
        <is>
          <t>Ma+</t>
        </is>
      </c>
      <c r="D47" s="39">
        <f>($D$39*$D$33+$D$41*$D$34)*$D$25^2</f>
        <v/>
      </c>
      <c r="E47" s="24" t="inlineStr">
        <is>
          <t>t·m/m</t>
        </is>
      </c>
    </row>
    <row r="48" ht="13.5" customHeight="1">
      <c r="B48" s="9" t="inlineStr">
        <is>
          <t>Mb+ = (CbD·wud + CbL·wul)·B²</t>
        </is>
      </c>
      <c r="C48" s="22" t="inlineStr">
        <is>
          <t>Mb+</t>
        </is>
      </c>
      <c r="D48" s="39">
        <f>($D$40*$D$33+$D$42*$D$34)*$D$26^2</f>
        <v/>
      </c>
      <c r="E48" s="24" t="inlineStr">
        <is>
          <t>t·m/m</t>
        </is>
      </c>
    </row>
    <row r="49" ht="13.5" customHeight="1">
      <c r="B49" s="9" t="inlineStr">
        <is>
          <t>Ma− borde largo discontinuo = Ma+/3</t>
        </is>
      </c>
      <c r="C49" s="22" t="inlineStr"/>
      <c r="D49" s="39">
        <f>IF(OR($D$29=1,$D$29=3,$D$29=4,$D$29=6,$D$29=7,$D$29=8),$D$47/3,0)</f>
        <v/>
      </c>
      <c r="E49" s="24" t="inlineStr">
        <is>
          <t>t·m/m</t>
        </is>
      </c>
      <c r="F49" s="27" t="inlineStr">
        <is>
          <t>13.7.3.5 · 0 = no hay borde largo discontinuo</t>
        </is>
      </c>
    </row>
    <row r="50" ht="13.5" customHeight="1">
      <c r="B50" s="9" t="inlineStr">
        <is>
          <t>Mb− borde corto discontinuo = Mb+/3</t>
        </is>
      </c>
      <c r="C50" s="22" t="inlineStr"/>
      <c r="D50" s="39">
        <f>IF(OR($D$29=1,$D$29=4,$D$29=5,$D$29=6,$D$29=7,$D$29=9),$D$48/3,0)</f>
        <v/>
      </c>
      <c r="E50" s="24" t="inlineStr">
        <is>
          <t>t·m/m</t>
        </is>
      </c>
      <c r="F50" s="27" t="inlineStr">
        <is>
          <t>0 = no hay borde corto discontinuo</t>
        </is>
      </c>
    </row>
    <row r="52" ht="17" customHeight="1">
      <c r="B52" s="21" t="inlineStr">
        <is>
          <t>4. ACERO DE REFUERZO (b = 100 cm)</t>
        </is>
      </c>
    </row>
    <row r="53" ht="13.5" customHeight="1">
      <c r="B53" s="9" t="inlineStr">
        <is>
          <t>Diámetro de la varilla</t>
        </is>
      </c>
      <c r="C53" s="22" t="inlineStr">
        <is>
          <t>db</t>
        </is>
      </c>
      <c r="D53" s="39">
        <f>INDEX(BAR_DB,MATCH($D$21,BAR_NOM,0))</f>
        <v/>
      </c>
      <c r="E53" s="24" t="inlineStr">
        <is>
          <t>cm</t>
        </is>
      </c>
    </row>
    <row r="54" ht="13.5" customHeight="1">
      <c r="B54" s="9" t="inlineStr">
        <is>
          <t>Área de la varilla</t>
        </is>
      </c>
      <c r="C54" s="22" t="inlineStr">
        <is>
          <t>Ab</t>
        </is>
      </c>
      <c r="D54" s="34">
        <f>INDEX(BAR_AS,MATCH($D$21,BAR_NOM,0))</f>
        <v/>
      </c>
      <c r="E54" s="24" t="inlineStr">
        <is>
          <t>cm²</t>
        </is>
      </c>
    </row>
    <row r="55" ht="13.5" customHeight="1">
      <c r="B55" s="9" t="inlineStr">
        <is>
          <t>Peralte efectivo dirección corta (capa exterior)</t>
        </is>
      </c>
      <c r="C55" s="22" t="inlineStr">
        <is>
          <t>dA</t>
        </is>
      </c>
      <c r="D55" s="34">
        <f>$D$16-$D$22-$D$53/2</f>
        <v/>
      </c>
      <c r="E55" s="24" t="inlineStr">
        <is>
          <t>cm</t>
        </is>
      </c>
    </row>
    <row r="56" ht="13.5" customHeight="1">
      <c r="B56" s="9" t="inlineStr">
        <is>
          <t>Peralte efectivo dirección larga (capa interior)</t>
        </is>
      </c>
      <c r="C56" s="22" t="inlineStr">
        <is>
          <t>dB</t>
        </is>
      </c>
      <c r="D56" s="34">
        <f>$D$55-$D$53</f>
        <v/>
      </c>
      <c r="E56" s="24" t="inlineStr">
        <is>
          <t>cm</t>
        </is>
      </c>
    </row>
    <row r="57" ht="13.5" customHeight="1">
      <c r="B57" s="9" t="inlineStr">
        <is>
          <t>As mínimo 0.0018·b·h</t>
        </is>
      </c>
      <c r="C57" s="22" t="inlineStr">
        <is>
          <t>Asmín</t>
        </is>
      </c>
      <c r="D57" s="34">
        <f>0.0018*100*$D$16</f>
        <v/>
      </c>
      <c r="E57" s="24" t="inlineStr">
        <is>
          <t>cm²/m</t>
        </is>
      </c>
      <c r="F57" s="27" t="inlineStr">
        <is>
          <t>9.7.2 / 10.5.4</t>
        </is>
      </c>
    </row>
    <row r="58" ht="13.5" customHeight="1">
      <c r="B58" s="9" t="inlineStr">
        <is>
          <t>Dirección corta · negativo continuo: As</t>
        </is>
      </c>
      <c r="C58" s="22" t="inlineStr">
        <is>
          <t>As</t>
        </is>
      </c>
      <c r="D58" s="34">
        <f>MAX($D$57*IF($D$45=0,0,1),0.85*$D$11*100*$D$55/$D$12*(1-SQRT(MAX(0,1-2*$D$45*100000/(0.9*0.85*$D$11*100*$D$55^2)))))</f>
        <v/>
      </c>
      <c r="E58" s="24" t="inlineStr">
        <is>
          <t>cm²/m</t>
        </is>
      </c>
    </row>
    <row r="59" ht="24" customHeight="1">
      <c r="B59" s="9" t="inlineStr">
        <is>
          <t>Dirección corta · negativo continuo: espaciamiento</t>
        </is>
      </c>
      <c r="C59" s="22" t="inlineStr">
        <is>
          <t>s</t>
        </is>
      </c>
      <c r="D59" s="26">
        <f>IF($D$58=0,0,MIN(FLOOR($D$54*100/$D$58,2.5),3*$D$16,40))</f>
        <v/>
      </c>
      <c r="E59" s="24" t="inlineStr">
        <is>
          <t>cm</t>
        </is>
      </c>
      <c r="F59" s="27" t="inlineStr">
        <is>
          <t>s ≤ 3h y 40 cm</t>
        </is>
      </c>
    </row>
    <row r="60" ht="13.5" customHeight="1">
      <c r="B60" s="9" t="inlineStr">
        <is>
          <t>Dirección corta · negativo continuo: ARMADURA</t>
        </is>
      </c>
      <c r="C60" s="22" t="inlineStr"/>
      <c r="D60" s="44">
        <f>IF($D$58=0,"—","Ø "&amp;$D$21&amp;" @ "&amp;FIXED($D$59/100,IF(MOD(ROUND($D$59*10,0),50)=0,2,3))&amp;" m")</f>
        <v/>
      </c>
      <c r="E60" s="30" t="n"/>
      <c r="F60" s="30" t="n"/>
    </row>
    <row r="61" ht="13.5" customHeight="1">
      <c r="B61" s="9" t="inlineStr">
        <is>
          <t>Dirección corta · negativo discontinuo: As</t>
        </is>
      </c>
      <c r="C61" s="22" t="inlineStr">
        <is>
          <t>As</t>
        </is>
      </c>
      <c r="D61" s="34">
        <f>MAX($D$57*IF($D$49=0,0,1),0.85*$D$11*100*$D$55/$D$12*(1-SQRT(MAX(0,1-2*$D$49*100000/(0.9*0.85*$D$11*100*$D$55^2)))))</f>
        <v/>
      </c>
      <c r="E61" s="24" t="inlineStr">
        <is>
          <t>cm²/m</t>
        </is>
      </c>
    </row>
    <row r="62" ht="24" customHeight="1">
      <c r="B62" s="9" t="inlineStr">
        <is>
          <t>Dirección corta · negativo discontinuo: espaciamiento</t>
        </is>
      </c>
      <c r="C62" s="22" t="inlineStr">
        <is>
          <t>s</t>
        </is>
      </c>
      <c r="D62" s="26">
        <f>IF($D$61=0,0,MIN(FLOOR($D$54*100/$D$61,2.5),3*$D$16,40))</f>
        <v/>
      </c>
      <c r="E62" s="24" t="inlineStr">
        <is>
          <t>cm</t>
        </is>
      </c>
      <c r="F62" s="27" t="inlineStr">
        <is>
          <t>s ≤ 3h y 40 cm</t>
        </is>
      </c>
    </row>
    <row r="63" ht="13.5" customHeight="1">
      <c r="B63" s="9" t="inlineStr">
        <is>
          <t>Dirección corta · negativo discontinuo: ARMADURA</t>
        </is>
      </c>
      <c r="C63" s="22" t="inlineStr"/>
      <c r="D63" s="44">
        <f>IF($D$61=0,"—","Ø "&amp;$D$21&amp;" @ "&amp;FIXED($D$62/100,IF(MOD(ROUND($D$62*10,0),50)=0,2,3))&amp;" m")</f>
        <v/>
      </c>
      <c r="E63" s="30" t="n"/>
      <c r="F63" s="30" t="n"/>
    </row>
    <row r="64" ht="13.5" customHeight="1">
      <c r="B64" s="9" t="inlineStr">
        <is>
          <t>Dirección corta · positivo: As</t>
        </is>
      </c>
      <c r="C64" s="22" t="inlineStr">
        <is>
          <t>As</t>
        </is>
      </c>
      <c r="D64" s="34">
        <f>MAX($D$57*IF($D$47=0,0,1),0.85*$D$11*100*$D$55/$D$12*(1-SQRT(MAX(0,1-2*$D$47*100000/(0.9*0.85*$D$11*100*$D$55^2)))))</f>
        <v/>
      </c>
      <c r="E64" s="24" t="inlineStr">
        <is>
          <t>cm²/m</t>
        </is>
      </c>
    </row>
    <row r="65" ht="13.5" customHeight="1">
      <c r="B65" s="9" t="inlineStr">
        <is>
          <t>Dirección corta · positivo: espaciamiento</t>
        </is>
      </c>
      <c r="C65" s="22" t="inlineStr">
        <is>
          <t>s</t>
        </is>
      </c>
      <c r="D65" s="26">
        <f>IF($D$64=0,0,MIN(FLOOR($D$54*100/$D$64,2.5),3*$D$16,40))</f>
        <v/>
      </c>
      <c r="E65" s="24" t="inlineStr">
        <is>
          <t>cm</t>
        </is>
      </c>
      <c r="F65" s="27" t="inlineStr">
        <is>
          <t>s ≤ 3h y 40 cm</t>
        </is>
      </c>
    </row>
    <row r="66" ht="13.5" customHeight="1">
      <c r="B66" s="9" t="inlineStr">
        <is>
          <t>Dirección corta · positivo: ARMADURA</t>
        </is>
      </c>
      <c r="C66" s="22" t="inlineStr"/>
      <c r="D66" s="44">
        <f>IF($D$64=0,"—","Ø "&amp;$D$21&amp;" @ "&amp;FIXED($D$65/100,IF(MOD(ROUND($D$65*10,0),50)=0,2,3))&amp;" m")</f>
        <v/>
      </c>
      <c r="E66" s="30" t="n"/>
      <c r="F66" s="30" t="n"/>
    </row>
    <row r="67" ht="13.5" customHeight="1">
      <c r="B67" s="9" t="inlineStr">
        <is>
          <t>Dirección larga · negativo continuo: As</t>
        </is>
      </c>
      <c r="C67" s="22" t="inlineStr">
        <is>
          <t>As</t>
        </is>
      </c>
      <c r="D67" s="34">
        <f>MAX($D$57*IF($D$46=0,0,1),0.85*$D$11*100*$D$56/$D$12*(1-SQRT(MAX(0,1-2*$D$46*100000/(0.9*0.85*$D$11*100*$D$56^2)))))</f>
        <v/>
      </c>
      <c r="E67" s="24" t="inlineStr">
        <is>
          <t>cm²/m</t>
        </is>
      </c>
    </row>
    <row r="68" ht="24" customHeight="1">
      <c r="B68" s="9" t="inlineStr">
        <is>
          <t>Dirección larga · negativo continuo: espaciamiento</t>
        </is>
      </c>
      <c r="C68" s="22" t="inlineStr">
        <is>
          <t>s</t>
        </is>
      </c>
      <c r="D68" s="26">
        <f>IF($D$67=0,0,MIN(FLOOR($D$54*100/$D$67,2.5),3*$D$16,40))</f>
        <v/>
      </c>
      <c r="E68" s="24" t="inlineStr">
        <is>
          <t>cm</t>
        </is>
      </c>
      <c r="F68" s="27" t="inlineStr">
        <is>
          <t>s ≤ 3h y 40 cm</t>
        </is>
      </c>
    </row>
    <row r="69" ht="13.5" customHeight="1">
      <c r="B69" s="9" t="inlineStr">
        <is>
          <t>Dirección larga · negativo continuo: ARMADURA</t>
        </is>
      </c>
      <c r="C69" s="22" t="inlineStr"/>
      <c r="D69" s="44">
        <f>IF($D$67=0,"—","Ø "&amp;$D$21&amp;" @ "&amp;FIXED($D$68/100,IF(MOD(ROUND($D$68*10,0),50)=0,2,3))&amp;" m")</f>
        <v/>
      </c>
      <c r="E69" s="30" t="n"/>
      <c r="F69" s="30" t="n"/>
    </row>
    <row r="70" ht="13.5" customHeight="1">
      <c r="B70" s="9" t="inlineStr">
        <is>
          <t>Dirección larga · negativo discontinuo: As</t>
        </is>
      </c>
      <c r="C70" s="22" t="inlineStr">
        <is>
          <t>As</t>
        </is>
      </c>
      <c r="D70" s="34">
        <f>MAX($D$57*IF($D$50=0,0,1),0.85*$D$11*100*$D$56/$D$12*(1-SQRT(MAX(0,1-2*$D$50*100000/(0.9*0.85*$D$11*100*$D$56^2)))))</f>
        <v/>
      </c>
      <c r="E70" s="24" t="inlineStr">
        <is>
          <t>cm²/m</t>
        </is>
      </c>
    </row>
    <row r="71" ht="24" customHeight="1">
      <c r="B71" s="9" t="inlineStr">
        <is>
          <t>Dirección larga · negativo discontinuo: espaciamiento</t>
        </is>
      </c>
      <c r="C71" s="22" t="inlineStr">
        <is>
          <t>s</t>
        </is>
      </c>
      <c r="D71" s="26">
        <f>IF($D$70=0,0,MIN(FLOOR($D$54*100/$D$70,2.5),3*$D$16,40))</f>
        <v/>
      </c>
      <c r="E71" s="24" t="inlineStr">
        <is>
          <t>cm</t>
        </is>
      </c>
      <c r="F71" s="27" t="inlineStr">
        <is>
          <t>s ≤ 3h y 40 cm</t>
        </is>
      </c>
    </row>
    <row r="72" ht="13.5" customHeight="1">
      <c r="B72" s="9" t="inlineStr">
        <is>
          <t>Dirección larga · negativo discontinuo: ARMADURA</t>
        </is>
      </c>
      <c r="C72" s="22" t="inlineStr"/>
      <c r="D72" s="44">
        <f>IF($D$70=0,"—","Ø "&amp;$D$21&amp;" @ "&amp;FIXED($D$71/100,IF(MOD(ROUND($D$71*10,0),50)=0,2,3))&amp;" m")</f>
        <v/>
      </c>
      <c r="E72" s="30" t="n"/>
      <c r="F72" s="30" t="n"/>
    </row>
    <row r="73" ht="13.5" customHeight="1">
      <c r="B73" s="9" t="inlineStr">
        <is>
          <t>Dirección larga · positivo: As</t>
        </is>
      </c>
      <c r="C73" s="22" t="inlineStr">
        <is>
          <t>As</t>
        </is>
      </c>
      <c r="D73" s="34">
        <f>MAX($D$57*IF($D$48=0,0,1),0.85*$D$11*100*$D$56/$D$12*(1-SQRT(MAX(0,1-2*$D$48*100000/(0.9*0.85*$D$11*100*$D$56^2)))))</f>
        <v/>
      </c>
      <c r="E73" s="24" t="inlineStr">
        <is>
          <t>cm²/m</t>
        </is>
      </c>
    </row>
    <row r="74" ht="13.5" customHeight="1">
      <c r="B74" s="9" t="inlineStr">
        <is>
          <t>Dirección larga · positivo: espaciamiento</t>
        </is>
      </c>
      <c r="C74" s="22" t="inlineStr">
        <is>
          <t>s</t>
        </is>
      </c>
      <c r="D74" s="26">
        <f>IF($D$73=0,0,MIN(FLOOR($D$54*100/$D$73,2.5),3*$D$16,40))</f>
        <v/>
      </c>
      <c r="E74" s="24" t="inlineStr">
        <is>
          <t>cm</t>
        </is>
      </c>
      <c r="F74" s="27" t="inlineStr">
        <is>
          <t>s ≤ 3h y 40 cm</t>
        </is>
      </c>
    </row>
    <row r="75" ht="13.5" customHeight="1">
      <c r="B75" s="9" t="inlineStr">
        <is>
          <t>Dirección larga · positivo: ARMADURA</t>
        </is>
      </c>
      <c r="C75" s="22" t="inlineStr"/>
      <c r="D75" s="44">
        <f>IF($D$73=0,"—","Ø "&amp;$D$21&amp;" @ "&amp;FIXED($D$74/100,IF(MOD(ROUND($D$74*10,0),50)=0,2,3))&amp;" m")</f>
        <v/>
      </c>
      <c r="E75" s="30" t="n"/>
      <c r="F75" s="30" t="n"/>
    </row>
    <row r="76" ht="13.5" customHeight="1">
      <c r="B76" s="9" t="inlineStr">
        <is>
          <t>Secciones suficientes a flexión</t>
        </is>
      </c>
      <c r="C76" s="29">
        <f>IF(AND(1-2*$D$45*100000/(0.9*0.85*$D$11*100*$D$55^2)&gt;=0,1-2*$D$47*100000/(0.9*0.85*$D$11*100*$D$55^2)&gt;=0,1-2*$D$46*100000/(0.9*0.85*$D$11*100*$D$56^2)&gt;=0,1-2*$D$48*100000/(0.9*0.85*$D$11*100*$D$56^2)&gt;=0),"CUMPLE","NO CUMPLE")</f>
        <v/>
      </c>
      <c r="D76" s="30" t="n"/>
      <c r="E76" s="30" t="n"/>
      <c r="F76" s="27" t="inlineStr">
        <is>
          <t>Si no cumple: aumente h</t>
        </is>
      </c>
    </row>
    <row r="78" ht="17" customHeight="1">
      <c r="B78" s="21" t="inlineStr">
        <is>
          <t>5. CORTANTE Y CARGA A LAS VIGAS (13.7.4)</t>
        </is>
      </c>
    </row>
    <row r="79" ht="24" customHeight="1">
      <c r="B79" s="9" t="inlineStr">
        <is>
          <t>Factor 1.15 (borde continuo opuesto a discontinuo)</t>
        </is>
      </c>
      <c r="C79" s="22" t="inlineStr"/>
      <c r="D79" s="34">
        <f>IF(OR($D$29=4,$D$29=6,$D$29=8),1.15,1)</f>
        <v/>
      </c>
      <c r="E79" s="24" t="inlineStr"/>
    </row>
    <row r="80" ht="13.5" customHeight="1">
      <c r="B80" s="9" t="inlineStr">
        <is>
          <t>Vu = wu·(A/2 − d)·(1 − 0.5m)</t>
        </is>
      </c>
      <c r="C80" s="22" t="inlineStr">
        <is>
          <t>Vu</t>
        </is>
      </c>
      <c r="D80" s="39">
        <f>$D$79*$D$35*($D$25/2-$D$55/100)*(1-0.5*$D$27)</f>
        <v/>
      </c>
      <c r="E80" s="24" t="inlineStr">
        <is>
          <t>t/m</t>
        </is>
      </c>
      <c r="F80" s="27" t="inlineStr">
        <is>
          <t>Ec. 13-10</t>
        </is>
      </c>
    </row>
    <row r="81" ht="13.5" customHeight="1">
      <c r="B81" s="9" t="inlineStr">
        <is>
          <t>φVc = 0.85·0.53·√f'c·b·d</t>
        </is>
      </c>
      <c r="C81" s="22" t="inlineStr">
        <is>
          <t>φVc</t>
        </is>
      </c>
      <c r="D81" s="39">
        <f>0.85*0.53*SQRT($D$11)*100*$D$55/1000</f>
        <v/>
      </c>
      <c r="E81" s="24" t="inlineStr">
        <is>
          <t>t/m</t>
        </is>
      </c>
    </row>
    <row r="82" ht="13.5" customHeight="1">
      <c r="B82" s="9" t="inlineStr">
        <is>
          <t>Vu ≤ φVc</t>
        </is>
      </c>
      <c r="C82" s="29">
        <f>IF($D$80&lt;=$D$81,"CUMPLE","NO CUMPLE")</f>
        <v/>
      </c>
      <c r="D82" s="30" t="n"/>
      <c r="E82" s="30" t="n"/>
      <c r="F82" s="27" t="inlineStr">
        <is>
          <t>Si no cumple: aumente h</t>
        </is>
      </c>
    </row>
    <row r="83" ht="13.5" customHeight="1">
      <c r="B83" s="9" t="inlineStr">
        <is>
          <t>Carga a la viga del lado corto wu·A/3</t>
        </is>
      </c>
      <c r="C83" s="22" t="inlineStr"/>
      <c r="D83" s="39">
        <f>$D$35*$D$25/3</f>
        <v/>
      </c>
      <c r="E83" s="24" t="inlineStr">
        <is>
          <t>t/m</t>
        </is>
      </c>
      <c r="F83" s="27" t="inlineStr">
        <is>
          <t>Áreas tributarias a 45°</t>
        </is>
      </c>
    </row>
    <row r="84" ht="13.5" customHeight="1">
      <c r="B84" s="9" t="inlineStr">
        <is>
          <t>Carga a la viga del lado largo wu·A/3·(3 − m²)/2</t>
        </is>
      </c>
      <c r="C84" s="22" t="inlineStr"/>
      <c r="D84" s="39">
        <f>$D$35*$D$25/3*(3-$D$27^2)/2</f>
        <v/>
      </c>
      <c r="E84" s="24" t="inlineStr">
        <is>
          <t>t/m</t>
        </is>
      </c>
    </row>
    <row r="86" ht="17" customHeight="1">
      <c r="B86" s="21" t="inlineStr">
        <is>
          <t>6. ESPESOR (E.060 9.6.3.3 con vigas rígidas)</t>
        </is>
      </c>
    </row>
    <row r="87" ht="13.5" customHeight="1">
      <c r="B87" s="9" t="inlineStr">
        <is>
          <t>h mín = ln(0.8 + fy/14000)/(36 + 9β)</t>
        </is>
      </c>
      <c r="C87" s="22" t="inlineStr">
        <is>
          <t>hmín</t>
        </is>
      </c>
      <c r="D87" s="26">
        <f>MAX(9,$D$26*100*(0.8+$D$12/14000)/(36+9*$D$26/$D$25))</f>
        <v/>
      </c>
      <c r="E87" s="24" t="inlineStr">
        <is>
          <t>cm</t>
        </is>
      </c>
      <c r="F87" s="27" t="inlineStr">
        <is>
          <t>αfm &gt; 2; ≥ 9 cm</t>
        </is>
      </c>
    </row>
    <row r="88" ht="24" customHeight="1">
      <c r="B88" s="9" t="inlineStr">
        <is>
          <t>h ≥ h mín</t>
        </is>
      </c>
      <c r="C88" s="29">
        <f>IF($D$16&gt;=$D$87,"CUMPLE","NO CUMPLE")</f>
        <v/>
      </c>
      <c r="D88" s="30" t="n"/>
      <c r="E88" s="30" t="n"/>
      <c r="F88" s="27" t="inlineStr">
        <is>
          <t>Si no cumple: aumente h o verifique deflexiones</t>
        </is>
      </c>
    </row>
    <row r="89" ht="13.5" customHeight="1">
      <c r="B89" s="9" t="inlineStr">
        <is>
          <t>Criterio práctico perímetro/180</t>
        </is>
      </c>
      <c r="C89" s="22" t="inlineStr"/>
      <c r="D89" s="26">
        <f>2*($D$25+$D$26)/180*100</f>
        <v/>
      </c>
      <c r="E89" s="24" t="inlineStr">
        <is>
          <t>cm</t>
        </is>
      </c>
    </row>
    <row r="91" ht="17" customHeight="1">
      <c r="B91" s="21" t="inlineStr">
        <is>
          <t>7. RESUMEN</t>
        </is>
      </c>
    </row>
    <row r="92" ht="24" customHeight="1">
      <c r="B92" s="9" t="inlineStr">
        <is>
          <t>Dirección corta: positivo · negativo continuo · discontinuo</t>
        </is>
      </c>
      <c r="C92" s="22" t="inlineStr"/>
      <c r="D92" s="44">
        <f>$D$66&amp;" · "&amp;$D$60&amp;" · "&amp;$D$63</f>
        <v/>
      </c>
      <c r="E92" s="30" t="n"/>
      <c r="F92" s="30" t="n"/>
    </row>
    <row r="93" ht="24" customHeight="1">
      <c r="B93" s="9" t="inlineStr">
        <is>
          <t>Dirección larga: positivo · negativo continuo · discontinuo</t>
        </is>
      </c>
      <c r="C93" s="22" t="inlineStr"/>
      <c r="D93" s="44">
        <f>$D$75&amp;" · "&amp;$D$69&amp;" · "&amp;$D$72</f>
        <v/>
      </c>
      <c r="E93" s="30" t="n"/>
      <c r="F93" s="30" t="n"/>
    </row>
    <row r="94" ht="13.5" customHeight="1">
      <c r="B94" s="9" t="inlineStr">
        <is>
          <t>ESTADO GENERAL DEL DISEÑO</t>
        </is>
      </c>
      <c r="C94" s="29">
        <f>IF(AND($C$28="CUMPLE",$C$76="CUMPLE",$C$82="CUMPLE",$C$88="CUMPLE"),"CUMPLE","NO CUMPLE")</f>
        <v/>
      </c>
      <c r="D94" s="30" t="n"/>
      <c r="E94" s="30" t="n"/>
      <c r="F94" s="27" t="inlineStr">
        <is>
          <t>Revise las líneas en rojo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0">
    <mergeCell ref="C94:E94"/>
    <mergeCell ref="B91:F91"/>
    <mergeCell ref="C7:F7"/>
    <mergeCell ref="D66:F66"/>
    <mergeCell ref="D75:F75"/>
    <mergeCell ref="B52:F52"/>
    <mergeCell ref="D72:F72"/>
    <mergeCell ref="C36:E36"/>
    <mergeCell ref="C3:F3"/>
    <mergeCell ref="C76:E76"/>
    <mergeCell ref="B2:F2"/>
    <mergeCell ref="B86:F86"/>
    <mergeCell ref="D93:F93"/>
    <mergeCell ref="C6:F6"/>
    <mergeCell ref="B1:F1"/>
    <mergeCell ref="D92:F92"/>
    <mergeCell ref="C82:E82"/>
    <mergeCell ref="C5:F5"/>
    <mergeCell ref="D15:F15"/>
    <mergeCell ref="B44:F44"/>
    <mergeCell ref="C28:E28"/>
    <mergeCell ref="B78:F78"/>
    <mergeCell ref="C4:F4"/>
    <mergeCell ref="B10:F10"/>
    <mergeCell ref="D60:F60"/>
    <mergeCell ref="D69:F69"/>
    <mergeCell ref="D63:F63"/>
    <mergeCell ref="D19:F19"/>
    <mergeCell ref="B24:F24"/>
    <mergeCell ref="C88:E88"/>
  </mergeCells>
  <conditionalFormatting sqref="B1:F95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3">
    <dataValidation sqref="D15" showDropDown="0" showInputMessage="0" showErrorMessage="0" allowBlank="0" errorTitle="Valor no válido" error="Elija un valor de la lista" type="list">
      <formula1>=CASOS</formula1>
    </dataValidation>
    <dataValidation sqref="D19" showDropDown="0" showInputMessage="0" showErrorMessage="0" allowBlank="0" errorTitle="Valor no válido" error="Elija un valor de la lista" type="list">
      <formula1>=USO_NOM</formula1>
    </dataValidation>
    <dataValidation sqref="D21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H115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37" customWidth="1" min="2" max="2"/>
    <col width="9.5" customWidth="1" min="3" max="3"/>
    <col width="11" customWidth="1" min="4" max="4"/>
    <col width="9.5" customWidth="1" min="5" max="5"/>
    <col width="11" customWidth="1" min="6" max="6"/>
    <col width="11" customWidth="1" min="7" max="7"/>
    <col width="11" customWidth="1" min="8" max="8"/>
  </cols>
  <sheetData>
    <row r="1" ht="24" customHeight="1">
      <c r="B1" s="14" t="inlineStr">
        <is>
          <t>DISEÑO DE LOSA ALIGERADA EN UNA DIRECCIÓN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  <c r="G3" s="18" t="n"/>
      <c r="H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  <c r="G4" s="18" t="n"/>
      <c r="H4" s="18" t="n"/>
    </row>
    <row r="5">
      <c r="B5" s="16" t="inlineStr">
        <is>
          <t>Elemento</t>
        </is>
      </c>
      <c r="C5" s="19" t="inlineStr">
        <is>
          <t>Aligerado 1er piso, ejes A–F</t>
        </is>
      </c>
      <c r="D5" s="18" t="n"/>
      <c r="E5" s="18" t="n"/>
      <c r="F5" s="18" t="n"/>
      <c r="G5" s="18" t="n"/>
      <c r="H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G6" s="18" t="n"/>
      <c r="H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G7" s="18" t="n"/>
      <c r="H7" s="18" t="n"/>
    </row>
    <row r="10" ht="17" customHeight="1">
      <c r="B10" s="21" t="inlineStr">
        <is>
          <t>1. DATOS DE ENTRADA</t>
        </is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</row>
    <row r="13" ht="13.5" customHeight="1">
      <c r="B13" s="9" t="inlineStr">
        <is>
          <t>Peralte del aligerado</t>
        </is>
      </c>
      <c r="C13" s="22" t="inlineStr">
        <is>
          <t>h</t>
        </is>
      </c>
      <c r="D13" s="23" t="n">
        <v>20</v>
      </c>
      <c r="E13" s="24" t="inlineStr">
        <is>
          <t>cm</t>
        </is>
      </c>
      <c r="F13" s="27" t="inlineStr">
        <is>
          <t>Viguetas 10 cm @ 40 cm, losa superior 5 cm</t>
        </is>
      </c>
    </row>
    <row r="14" ht="13.5" customHeight="1">
      <c r="B14" s="9" t="inlineStr">
        <is>
          <t>Uso (sobrecarga de la E.020)</t>
        </is>
      </c>
      <c r="C14" s="22" t="inlineStr"/>
      <c r="D14" s="31" t="inlineStr">
        <is>
          <t>Vivienda</t>
        </is>
      </c>
      <c r="E14" s="32" t="n"/>
      <c r="F14" s="32" t="n"/>
      <c r="G14" s="33" t="n"/>
    </row>
    <row r="15" ht="13.5" customHeight="1">
      <c r="B15" s="9" t="inlineStr">
        <is>
          <t>Sobrecarga manual (solo si eligió «Otro»)</t>
        </is>
      </c>
      <c r="C15" s="22" t="inlineStr">
        <is>
          <t>s/c</t>
        </is>
      </c>
      <c r="D15" s="23" t="n">
        <v>0</v>
      </c>
      <c r="E15" s="24" t="inlineStr">
        <is>
          <t>kgf/m²</t>
        </is>
      </c>
    </row>
    <row r="16" ht="13.5" customHeight="1">
      <c r="B16" s="9" t="inlineStr">
        <is>
          <t>Piso terminado / acabados</t>
        </is>
      </c>
      <c r="C16" s="22" t="inlineStr">
        <is>
          <t>pt</t>
        </is>
      </c>
      <c r="D16" s="23" t="n">
        <v>100</v>
      </c>
      <c r="E16" s="24" t="inlineStr">
        <is>
          <t>kgf/m²</t>
        </is>
      </c>
      <c r="F16" s="27" t="inlineStr">
        <is>
          <t>Usual 100 kgf/m²</t>
        </is>
      </c>
    </row>
    <row r="17" ht="13.5" customHeight="1">
      <c r="B17" s="9" t="inlineStr">
        <is>
          <t>Tabiquería repartida</t>
        </is>
      </c>
      <c r="C17" s="22" t="inlineStr">
        <is>
          <t>tab</t>
        </is>
      </c>
      <c r="D17" s="23" t="n">
        <v>100</v>
      </c>
      <c r="E17" s="24" t="inlineStr">
        <is>
          <t>kgf/m²</t>
        </is>
      </c>
      <c r="F17" s="27" t="inlineStr">
        <is>
          <t>E.020: tabiquería móvil 50–150 kgf/m²</t>
        </is>
      </c>
    </row>
    <row r="18" ht="13.5" customHeight="1">
      <c r="B18" s="9" t="inlineStr">
        <is>
          <t>Recubrimiento al centro de la varilla</t>
        </is>
      </c>
      <c r="C18" s="22" t="inlineStr">
        <is>
          <t>r</t>
        </is>
      </c>
      <c r="D18" s="35" t="n">
        <v>3</v>
      </c>
      <c r="E18" s="24" t="inlineStr">
        <is>
          <t>cm</t>
        </is>
      </c>
      <c r="F18" s="27" t="inlineStr">
        <is>
          <t>E.060 7.7.1: 2 cm libre + Ø/2 → d = h − 3 cm</t>
        </is>
      </c>
    </row>
    <row r="19" ht="24" customHeight="1">
      <c r="B19" s="9" t="inlineStr">
        <is>
          <t>¿Soporta tabiques susceptibles de dañarse por deflexiones?</t>
        </is>
      </c>
      <c r="C19" s="22" t="inlineStr"/>
      <c r="D19" s="31" t="inlineStr">
        <is>
          <t>Sí</t>
        </is>
      </c>
      <c r="E19" s="24" t="inlineStr"/>
      <c r="F19" s="27" t="inlineStr">
        <is>
          <t>Tabla 9.2: Sí → ℓ/480 · No → ℓ/240 (diferida + viva)</t>
        </is>
      </c>
    </row>
    <row r="20" ht="24" customHeight="1">
      <c r="B20" s="9" t="inlineStr">
        <is>
          <t>Apoyos extremos</t>
        </is>
      </c>
      <c r="C20" s="22" t="inlineStr"/>
      <c r="D20" s="31" t="inlineStr">
        <is>
          <t>Viga (monolítico)</t>
        </is>
      </c>
      <c r="E20" s="33" t="n"/>
      <c r="F20" s="27" t="inlineStr">
        <is>
          <t>Define M(−) extremo y M(+) de los tramos extremos</t>
        </is>
      </c>
    </row>
    <row r="21" ht="13.5" customHeight="1">
      <c r="B21" s="9" t="inlineStr">
        <is>
          <t>Número de tramos</t>
        </is>
      </c>
      <c r="C21" s="22" t="inlineStr">
        <is>
          <t>n</t>
        </is>
      </c>
      <c r="D21" s="23" t="n">
        <v>3</v>
      </c>
      <c r="E21" s="24" t="inlineStr"/>
      <c r="F21" s="27" t="inlineStr">
        <is>
          <t>De 1 a 5</t>
        </is>
      </c>
    </row>
    <row r="23">
      <c r="D23" s="37" t="inlineStr">
        <is>
          <t>Tramo 1</t>
        </is>
      </c>
      <c r="E23" s="37" t="inlineStr">
        <is>
          <t>Tramo 2</t>
        </is>
      </c>
      <c r="F23" s="37" t="inlineStr">
        <is>
          <t>Tramo 3</t>
        </is>
      </c>
      <c r="G23" s="37" t="inlineStr">
        <is>
          <t>Tramo 4</t>
        </is>
      </c>
      <c r="H23" s="37" t="inlineStr">
        <is>
          <t>Tramo 5</t>
        </is>
      </c>
    </row>
    <row r="24">
      <c r="B24" s="12" t="inlineStr">
        <is>
          <t>Luz libre de cada tramo (m)</t>
        </is>
      </c>
      <c r="D24" s="25" t="n">
        <v>4</v>
      </c>
      <c r="E24" s="25" t="n">
        <v>4.2</v>
      </c>
      <c r="F24" s="25" t="n">
        <v>3.8</v>
      </c>
      <c r="G24" s="25" t="n">
        <v>4</v>
      </c>
      <c r="H24" s="25" t="n">
        <v>4</v>
      </c>
    </row>
    <row r="25">
      <c r="B25" s="27" t="inlineStr">
        <is>
          <t>Ingrese solo las luces de los tramos 1 a n; las demás se ignoran. Luz libre = distancia entre caras de apoyos.</t>
        </is>
      </c>
    </row>
    <row r="27" ht="17" customHeight="1">
      <c r="B27" s="21" t="inlineStr">
        <is>
          <t>2. METRADO DE CARGAS POR VIGUETA (ancho tributario 0.40 m)</t>
        </is>
      </c>
    </row>
    <row r="28" ht="13.5" customHeight="1">
      <c r="B28" s="9" t="inlineStr">
        <is>
          <t>Peso propio del aligerado</t>
        </is>
      </c>
      <c r="C28" s="22" t="inlineStr">
        <is>
          <t>pp</t>
        </is>
      </c>
      <c r="D28" s="28">
        <f>INDEX(ALIG_PP,MATCH($D$13,ALIG_H,0))</f>
        <v/>
      </c>
      <c r="E28" s="24" t="inlineStr">
        <is>
          <t>kgf/m²</t>
        </is>
      </c>
      <c r="F28" s="27" t="inlineStr">
        <is>
          <t>E.020 Anexo 1</t>
        </is>
      </c>
    </row>
    <row r="29" ht="13.5" customHeight="1">
      <c r="B29" s="9" t="inlineStr">
        <is>
          <t>Sobrecarga de uso</t>
        </is>
      </c>
      <c r="C29" s="22" t="inlineStr">
        <is>
          <t>s/c</t>
        </is>
      </c>
      <c r="D29" s="28">
        <f>IF($D$14="Otro (ingresar valor manual)",$D$15,INDEX(USO_SC,MATCH($D$14,USO_NOM,0)))</f>
        <v/>
      </c>
      <c r="E29" s="24" t="inlineStr">
        <is>
          <t>kgf/m²</t>
        </is>
      </c>
    </row>
    <row r="30" ht="13.5" customHeight="1">
      <c r="B30" s="9" t="inlineStr">
        <is>
          <t>Carga muerta por vigueta</t>
        </is>
      </c>
      <c r="C30" s="22" t="inlineStr">
        <is>
          <t>wD</t>
        </is>
      </c>
      <c r="D30" s="39">
        <f>($D$28+$D$16+$D$17)*0.4/1000</f>
        <v/>
      </c>
      <c r="E30" s="24" t="inlineStr">
        <is>
          <t>t/m</t>
        </is>
      </c>
    </row>
    <row r="31" ht="13.5" customHeight="1">
      <c r="B31" s="9" t="inlineStr">
        <is>
          <t>Carga viva por vigueta</t>
        </is>
      </c>
      <c r="C31" s="22" t="inlineStr">
        <is>
          <t>wL</t>
        </is>
      </c>
      <c r="D31" s="39">
        <f>$D$29*0.4/1000</f>
        <v/>
      </c>
      <c r="E31" s="24" t="inlineStr">
        <is>
          <t>t/m</t>
        </is>
      </c>
    </row>
    <row r="32" ht="13.5" customHeight="1">
      <c r="B32" s="9" t="inlineStr">
        <is>
          <t>Carga última wu = 1.4·wD + 1.7·wL</t>
        </is>
      </c>
      <c r="C32" s="22" t="inlineStr">
        <is>
          <t>wu</t>
        </is>
      </c>
      <c r="D32" s="39">
        <f>1.4*$D$30+1.7*$D$31</f>
        <v/>
      </c>
      <c r="E32" s="24" t="inlineStr">
        <is>
          <t>t/m</t>
        </is>
      </c>
      <c r="F32" s="27" t="inlineStr">
        <is>
          <t>E.060 9.2.1</t>
        </is>
      </c>
    </row>
    <row r="34" ht="17" customHeight="1">
      <c r="B34" s="21" t="inlineStr">
        <is>
          <t>3. VERIFICACIONES PREVIAS</t>
        </is>
      </c>
    </row>
    <row r="35" ht="13.5" customHeight="1">
      <c r="B35" s="9" t="inlineStr">
        <is>
          <t>Luz libre mayor</t>
        </is>
      </c>
      <c r="C35" s="22" t="inlineStr">
        <is>
          <t>ln máx</t>
        </is>
      </c>
      <c r="D35" s="34">
        <f>MAX(IF($D$21&gt;=1,$D$24,0),IF($D$21&gt;=2,$E$24,0),IF($D$21&gt;=3,$F$24,0),IF($D$21&gt;=4,$G$24,0),IF($D$21&gt;=5,$H$24,0))</f>
        <v/>
      </c>
      <c r="E35" s="24" t="inlineStr">
        <is>
          <t>m</t>
        </is>
      </c>
    </row>
    <row r="36" ht="24" customHeight="1">
      <c r="B36" s="9" t="inlineStr">
        <is>
          <t>Peralte de referencia sin verificar deflexiones (Tabla 9.1)</t>
        </is>
      </c>
      <c r="C36" s="22" t="inlineStr">
        <is>
          <t>hmín</t>
        </is>
      </c>
      <c r="D36" s="26">
        <f>MAX(IF($D$21&gt;=1,$D$24/IF($D$21=1,16,IF(OR(1=1,1=$D$21),18.5,21)),0),IF($D$21&gt;=2,$E$24/IF($D$21=1,16,IF(OR(2=1,2=$D$21),18.5,21)),0),IF($D$21&gt;=3,$F$24/IF($D$21=1,16,IF(OR(3=1,3=$D$21),18.5,21)),0),IF($D$21&gt;=4,$G$24/IF($D$21=1,16,IF(OR(4=1,4=$D$21),18.5,21)),0),IF($D$21&gt;=5,$H$24/IF($D$21=1,16,IF(OR(5=1,5=$D$21),18.5,21)),0))*100</f>
        <v/>
      </c>
      <c r="E36" s="24" t="inlineStr">
        <is>
          <t>cm</t>
        </is>
      </c>
      <c r="F36" s="27" t="inlineStr">
        <is>
          <t>E.060 9.6.2.1: ℓ/16 simple · ℓ/18.5 un extremo continuo · ℓ/21 ambos continuos</t>
        </is>
      </c>
    </row>
    <row r="37" ht="24" customHeight="1">
      <c r="B37" s="9" t="inlineStr">
        <is>
          <t>h ≥ peralte de la Tabla 9.1</t>
        </is>
      </c>
      <c r="C37" s="29">
        <f>IF($D$13&gt;=$D$36,"CUMPLE","REVISAR")</f>
        <v/>
      </c>
      <c r="D37" s="30" t="n"/>
      <c r="E37" s="30" t="n"/>
      <c r="F37" s="27" t="inlineStr">
        <is>
          <t>Si sale REVISAR: las deflexiones se calculan en la sección 8 (decide el estado general)</t>
        </is>
      </c>
    </row>
    <row r="38" ht="24" customHeight="1">
      <c r="B38" s="9" t="inlineStr">
        <is>
          <t>Criterio práctico usual ln/25 (s/c ≤ 300 kgf/m²)</t>
        </is>
      </c>
      <c r="C38" s="22" t="inlineStr"/>
      <c r="D38" s="26">
        <f>$D$35/25*100</f>
        <v/>
      </c>
      <c r="E38" s="24" t="inlineStr">
        <is>
          <t>cm</t>
        </is>
      </c>
      <c r="F38" s="27" t="inlineStr">
        <is>
          <t>Práctica peruana (E.060-1989). No figura en la E.060-2009</t>
        </is>
      </c>
    </row>
    <row r="39" ht="13.5" customHeight="1">
      <c r="B39" s="9" t="inlineStr">
        <is>
          <t>Luces de los tramos 1 a n ingresadas (&gt; 0)</t>
        </is>
      </c>
      <c r="C39" s="29">
        <f>IF(AND(OR($D$21&lt;1,N($D$24)&gt;0),OR($D$21&lt;2,N($E$24)&gt;0),OR($D$21&lt;3,N($F$24)&gt;0),OR($D$21&lt;4,N($G$24)&gt;0),OR($D$21&lt;5,N($H$24)&gt;0)),"CUMPLE","NO CUMPLE")</f>
        <v/>
      </c>
      <c r="D39" s="30" t="n"/>
      <c r="E39" s="30" t="n"/>
      <c r="F39" s="27" t="inlineStr">
        <is>
          <t>Complete las luces que faltan</t>
        </is>
      </c>
    </row>
    <row r="40" ht="13.5" customHeight="1">
      <c r="B40" s="9" t="inlineStr">
        <is>
          <t>Relación máxima entre luces adyacentes</t>
        </is>
      </c>
      <c r="C40" s="22" t="inlineStr"/>
      <c r="D40" s="34">
        <f>MAX(IF($D$21&gt;=2,MAX($D$24,$E$24)/MIN($D$24,$E$24),1),IF($D$21&gt;=3,MAX($E$24,$F$24)/MIN($E$24,$F$24),1),IF($D$21&gt;=4,MAX($F$24,$G$24)/MIN($F$24,$G$24),1),IF($D$21&gt;=5,MAX($G$24,$H$24)/MIN($G$24,$H$24),1))</f>
        <v/>
      </c>
      <c r="E40" s="24" t="inlineStr"/>
      <c r="F40" s="27" t="inlineStr">
        <is>
          <t>Método de coeficientes: ≤ 1.20 (E.060 8.3.3)</t>
        </is>
      </c>
    </row>
    <row r="41" ht="24" customHeight="1">
      <c r="B41" s="9" t="inlineStr">
        <is>
          <t>Aplicabilidad del método de coeficientes</t>
        </is>
      </c>
      <c r="C41" s="29">
        <f>IF(OR($D$21=1,AND($D$40&lt;=1.2,$D$31&lt;=3*$D$30)),"CUMPLE","REVISAR")</f>
        <v/>
      </c>
      <c r="D41" s="30" t="n"/>
      <c r="E41" s="30" t="n"/>
      <c r="F41" s="27" t="inlineStr">
        <is>
          <t>Luces ±20 % y CV ≤ 3CM (n = 1: viga simple wu·ln²/8). Si no: analice con SAP2000/ETABS</t>
        </is>
      </c>
    </row>
    <row r="42" ht="13.5" customHeight="1">
      <c r="B42" s="9" t="inlineStr">
        <is>
          <t>Peralte efectivo</t>
        </is>
      </c>
      <c r="C42" s="22" t="inlineStr">
        <is>
          <t>d</t>
        </is>
      </c>
      <c r="D42" s="26">
        <f>$D$13-$D$18</f>
        <v/>
      </c>
      <c r="E42" s="24" t="inlineStr">
        <is>
          <t>cm</t>
        </is>
      </c>
    </row>
    <row r="43" ht="13.5" customHeight="1">
      <c r="B43" s="9" t="inlineStr">
        <is>
          <t>β1</t>
        </is>
      </c>
      <c r="C43" s="22" t="inlineStr">
        <is>
          <t>β1</t>
        </is>
      </c>
      <c r="D43" s="39">
        <f>IF($D$11&lt;=280,0.85,MAX(0.65,0.85-0.05*($D$11-280)/70))</f>
        <v/>
      </c>
      <c r="E43" s="24" t="inlineStr"/>
    </row>
    <row r="44" ht="13.5" customHeight="1">
      <c r="B44" s="9" t="inlineStr">
        <is>
          <t>Cuantía balanceada</t>
        </is>
      </c>
      <c r="C44" s="22" t="inlineStr">
        <is>
          <t>ρb</t>
        </is>
      </c>
      <c r="D44" s="40">
        <f>0.85*$D$43*$D$11/$D$12*6000/(6000+$D$12)</f>
        <v/>
      </c>
      <c r="E44" s="24" t="inlineStr"/>
    </row>
    <row r="46" ht="17" customHeight="1">
      <c r="B46" s="21" t="inlineStr">
        <is>
          <t>4. ACERO MÍNIMO (E.060 10.5.1: φMn ≥ 1.2·Mcr) Y MÁXIMO (0.75·ρb)</t>
        </is>
      </c>
    </row>
    <row r="47" ht="13.5" customHeight="1">
      <c r="B47" s="9" t="inlineStr">
        <is>
          <t>Centroide de la sección T desde arriba</t>
        </is>
      </c>
      <c r="C47" s="22" t="inlineStr">
        <is>
          <t>ȳ</t>
        </is>
      </c>
      <c r="D47" s="34">
        <f>(40*5*2.5+10*($D$13-5)*(5+($D$13-5)/2))/(40*5+10*($D$13-5))</f>
        <v/>
      </c>
      <c r="E47" s="24" t="inlineStr">
        <is>
          <t>cm</t>
        </is>
      </c>
      <c r="F47" s="27" t="inlineStr">
        <is>
          <t>bf = 40, hf = 5, bw = 10 cm</t>
        </is>
      </c>
    </row>
    <row r="48" ht="13.5" customHeight="1">
      <c r="B48" s="9" t="inlineStr">
        <is>
          <t>Inercia bruta de la sección T</t>
        </is>
      </c>
      <c r="C48" s="22" t="inlineStr">
        <is>
          <t>Ig</t>
        </is>
      </c>
      <c r="D48" s="28">
        <f>40*5^3/12+40*5*($D$47-2.5)^2+10*($D$13-5)^3/12+10*($D$13-5)*(5+($D$13-5)/2-$D$47)^2</f>
        <v/>
      </c>
      <c r="E48" s="24" t="inlineStr">
        <is>
          <t>cm⁴</t>
        </is>
      </c>
    </row>
    <row r="49" ht="13.5" customHeight="1">
      <c r="B49" s="9" t="inlineStr">
        <is>
          <t>Módulo de rotura fr = 2·√f'c</t>
        </is>
      </c>
      <c r="C49" s="22" t="inlineStr">
        <is>
          <t>fr</t>
        </is>
      </c>
      <c r="D49" s="34">
        <f>2*SQRT($D$11)</f>
        <v/>
      </c>
      <c r="E49" s="24" t="inlineStr">
        <is>
          <t>kgf/cm²</t>
        </is>
      </c>
      <c r="F49" s="27" t="inlineStr">
        <is>
          <t>E.060 9.6.2.3</t>
        </is>
      </c>
    </row>
    <row r="50" ht="13.5" customHeight="1">
      <c r="B50" s="9" t="inlineStr">
        <is>
          <t>Momento de agrietamiento positivo</t>
        </is>
      </c>
      <c r="C50" s="22" t="inlineStr">
        <is>
          <t>Mcr+</t>
        </is>
      </c>
      <c r="D50" s="39">
        <f>$D$49*$D$48/($D$13-$D$47)/100000</f>
        <v/>
      </c>
      <c r="E50" s="24" t="inlineStr">
        <is>
          <t>t·m</t>
        </is>
      </c>
    </row>
    <row r="51" ht="13.5" customHeight="1">
      <c r="B51" s="9" t="inlineStr">
        <is>
          <t>Momento de agrietamiento negativo</t>
        </is>
      </c>
      <c r="C51" s="22" t="inlineStr">
        <is>
          <t>Mcr−</t>
        </is>
      </c>
      <c r="D51" s="39">
        <f>$D$49*$D$48/$D$47/100000</f>
        <v/>
      </c>
      <c r="E51" s="24" t="inlineStr">
        <is>
          <t>t·m</t>
        </is>
      </c>
    </row>
    <row r="52" ht="13.5" customHeight="1">
      <c r="B52" s="9" t="inlineStr">
        <is>
          <t>As mín positivo (b = 40 cm)</t>
        </is>
      </c>
      <c r="C52" s="22" t="inlineStr">
        <is>
          <t>As+mín</t>
        </is>
      </c>
      <c r="D52" s="34">
        <f>0.85*$D$11*40*$D$42/$D$12*(1-SQRT(MAX(0,1-2*1.2*$D$50*100000/(0.9*0.85*$D$11*40*$D$42^2))))</f>
        <v/>
      </c>
      <c r="E52" s="24" t="inlineStr">
        <is>
          <t>cm²</t>
        </is>
      </c>
    </row>
    <row r="53" ht="13.5" customHeight="1">
      <c r="B53" s="9" t="inlineStr">
        <is>
          <t>As mín negativo (b = 10 cm)</t>
        </is>
      </c>
      <c r="C53" s="22" t="inlineStr">
        <is>
          <t>As−mín</t>
        </is>
      </c>
      <c r="D53" s="34">
        <f>0.85*$D$11*10*$D$42/$D$12*(1-SQRT(MAX(0,1-2*1.2*$D$51*100000/(0.9*0.85*$D$11*10*$D$42^2))))</f>
        <v/>
      </c>
      <c r="E53" s="24" t="inlineStr">
        <is>
          <t>cm²</t>
        </is>
      </c>
    </row>
    <row r="54" ht="13.5" customHeight="1">
      <c r="B54" s="9" t="inlineStr">
        <is>
          <t>As máx negativo 0.75·ρb·bw·d</t>
        </is>
      </c>
      <c r="C54" s="22" t="inlineStr">
        <is>
          <t>As−máx</t>
        </is>
      </c>
      <c r="D54" s="34">
        <f>0.75*$D$44*10*$D$42</f>
        <v/>
      </c>
      <c r="E54" s="24" t="inlineStr">
        <is>
          <t>cm²</t>
        </is>
      </c>
    </row>
    <row r="55" ht="13.5" customHeight="1">
      <c r="B55" s="9" t="inlineStr">
        <is>
          <t>Eje neutro balanceado cb = 6000·d/(6000 + fy)</t>
        </is>
      </c>
      <c r="C55" s="22" t="inlineStr">
        <is>
          <t>cb</t>
        </is>
      </c>
      <c r="D55" s="34">
        <f>6000*$D$42/(6000+$D$12)</f>
        <v/>
      </c>
      <c r="E55" s="24" t="inlineStr">
        <is>
          <t>cm</t>
        </is>
      </c>
    </row>
    <row r="56" ht="13.5" customHeight="1">
      <c r="B56" s="9" t="inlineStr">
        <is>
          <t>As máx positivo 0.75·Asb de la sección T</t>
        </is>
      </c>
      <c r="C56" s="22" t="inlineStr">
        <is>
          <t>As+máx</t>
        </is>
      </c>
      <c r="D56" s="34">
        <f>0.75*IF($D$43*$D$55&lt;=5,0.85*$D$11*40*$D$43*$D$55,0.85*$D$11*(30*5+10*$D$43*$D$55))/$D$12</f>
        <v/>
      </c>
      <c r="E56" s="24" t="inlineStr">
        <is>
          <t>cm²</t>
        </is>
      </c>
      <c r="F56" s="27" t="inlineStr">
        <is>
          <t>Asb con bf = 40, hf = 5, bw = 10 cm</t>
        </is>
      </c>
    </row>
    <row r="58" ht="17" customHeight="1">
      <c r="B58" s="21" t="inlineStr">
        <is>
          <t>5. MOMENTOS NEGATIVOS EN LOS APOYOS (E.060 8.3.3)</t>
        </is>
      </c>
    </row>
    <row r="59">
      <c r="B59" s="50" t="inlineStr">
        <is>
          <t>Concepto</t>
        </is>
      </c>
      <c r="C59" s="42" t="inlineStr">
        <is>
          <t>Apoyo 0</t>
        </is>
      </c>
      <c r="D59" s="42" t="inlineStr">
        <is>
          <t>Apoyo 1</t>
        </is>
      </c>
      <c r="E59" s="42" t="inlineStr">
        <is>
          <t>Apoyo 2</t>
        </is>
      </c>
      <c r="F59" s="42" t="inlineStr">
        <is>
          <t>Apoyo 3</t>
        </is>
      </c>
      <c r="G59" s="42" t="inlineStr">
        <is>
          <t>Apoyo 4</t>
        </is>
      </c>
      <c r="H59" s="42" t="inlineStr">
        <is>
          <t>Apoyo 5</t>
        </is>
      </c>
    </row>
    <row r="60">
      <c r="B60" s="38" t="inlineStr">
        <is>
          <t>Coeficiente</t>
        </is>
      </c>
      <c r="C60" s="51">
        <f>IF($D$21&gt;=1,(IF($D$20="Viga (monolítico)",1/24,0)),"")</f>
        <v/>
      </c>
      <c r="D60" s="51">
        <f>IF($D$21&lt;1,"",IF($D$21=1,(IF($D$20="Viga (monolítico)",1/24,0)),IF($D$21=2,1/9,IF(OR(1=1,1=$D$21-1),1/10,1/11))))</f>
        <v/>
      </c>
      <c r="E60" s="51">
        <f>IF($D$21&lt;2,"",IF($D$21=2,(IF($D$20="Viga (monolítico)",1/24,0)),IF($D$21=2,1/9,IF(OR(2=1,2=$D$21-1),1/10,1/11))))</f>
        <v/>
      </c>
      <c r="F60" s="51">
        <f>IF($D$21&lt;3,"",IF($D$21=3,(IF($D$20="Viga (monolítico)",1/24,0)),IF($D$21=2,1/9,IF(OR(3=1,3=$D$21-1),1/10,1/11))))</f>
        <v/>
      </c>
      <c r="G60" s="51">
        <f>IF($D$21&lt;4,"",IF($D$21=4,(IF($D$20="Viga (monolítico)",1/24,0)),IF($D$21=2,1/9,IF(OR(4=1,4=$D$21-1),1/10,1/11))))</f>
        <v/>
      </c>
      <c r="H60" s="51">
        <f>IF($D$21&lt;5,"",IF($D$21=5,(IF($D$20="Viga (monolítico)",1/24,0)),IF($D$21=2,1/9,IF(OR(5=1,5=$D$21-1),1/10,1/11))))</f>
        <v/>
      </c>
    </row>
    <row r="61">
      <c r="B61" s="38" t="inlineStr">
        <is>
          <t>Coeficiente (fracción)</t>
        </is>
      </c>
      <c r="C61" s="52">
        <f>IF(C60="","",IF(C60=0,"0 (articulado)","1/"&amp;ROUND(1/C60,0)))</f>
        <v/>
      </c>
      <c r="D61" s="52">
        <f>IF(D60="","",IF(D60=0,"0 (articulado)","1/"&amp;ROUND(1/D60,0)))</f>
        <v/>
      </c>
      <c r="E61" s="52">
        <f>IF(E60="","",IF(E60=0,"0 (articulado)","1/"&amp;ROUND(1/E60,0)))</f>
        <v/>
      </c>
      <c r="F61" s="52">
        <f>IF(F60="","",IF(F60=0,"0 (articulado)","1/"&amp;ROUND(1/F60,0)))</f>
        <v/>
      </c>
      <c r="G61" s="52">
        <f>IF(G60="","",IF(G60=0,"0 (articulado)","1/"&amp;ROUND(1/G60,0)))</f>
        <v/>
      </c>
      <c r="H61" s="52">
        <f>IF(H60="","",IF(H60=0,"0 (articulado)","1/"&amp;ROUND(1/H60,0)))</f>
        <v/>
      </c>
    </row>
    <row r="62">
      <c r="B62" s="38" t="inlineStr">
        <is>
          <t>Luz ln (promedio en apoyos interiores) (m)</t>
        </is>
      </c>
      <c r="C62" s="53">
        <f>$D$24</f>
        <v/>
      </c>
      <c r="D62" s="53">
        <f>IF($D$21&lt;1,"",IF($D$21=1,$D$24,($D$24+$E$24)/2))</f>
        <v/>
      </c>
      <c r="E62" s="53">
        <f>IF($D$21&lt;2,"",IF($D$21=2,$E$24,($E$24+$F$24)/2))</f>
        <v/>
      </c>
      <c r="F62" s="53">
        <f>IF($D$21&lt;3,"",IF($D$21=3,$F$24,($F$24+$G$24)/2))</f>
        <v/>
      </c>
      <c r="G62" s="53">
        <f>IF($D$21&lt;4,"",IF($D$21=4,$G$24,($G$24+$H$24)/2))</f>
        <v/>
      </c>
      <c r="H62" s="53">
        <f>IF($D$21=5,$H$24,"")</f>
        <v/>
      </c>
    </row>
    <row r="63">
      <c r="B63" s="38" t="inlineStr">
        <is>
          <t>Mu− = coef·wu·ln² (t·m)</t>
        </is>
      </c>
      <c r="C63" s="39">
        <f>IF(C60="","",C60*$D$32*C62^2)</f>
        <v/>
      </c>
      <c r="D63" s="39">
        <f>IF(D60="","",D60*$D$32*D62^2)</f>
        <v/>
      </c>
      <c r="E63" s="39">
        <f>IF(E60="","",E60*$D$32*E62^2)</f>
        <v/>
      </c>
      <c r="F63" s="39">
        <f>IF(F60="","",F60*$D$32*F62^2)</f>
        <v/>
      </c>
      <c r="G63" s="39">
        <f>IF(G60="","",G60*$D$32*G62^2)</f>
        <v/>
      </c>
      <c r="H63" s="39">
        <f>IF(H60="","",H60*$D$32*H62^2)</f>
        <v/>
      </c>
    </row>
    <row r="64">
      <c r="B64" s="38" t="inlineStr">
        <is>
          <t>As requerido (b = 10 cm) (cm²)</t>
        </is>
      </c>
      <c r="C64" s="34">
        <f>IF(C63="","",0.85*$D$11*10*$D$42/$D$12*(1-SQRT(MAX(0,1-2*C63*100000/(0.9*0.85*$D$11*10*$D$42^2)))))</f>
        <v/>
      </c>
      <c r="D64" s="34">
        <f>IF(D63="","",0.85*$D$11*10*$D$42/$D$12*(1-SQRT(MAX(0,1-2*D63*100000/(0.9*0.85*$D$11*10*$D$42^2)))))</f>
        <v/>
      </c>
      <c r="E64" s="34">
        <f>IF(E63="","",0.85*$D$11*10*$D$42/$D$12*(1-SQRT(MAX(0,1-2*E63*100000/(0.9*0.85*$D$11*10*$D$42^2)))))</f>
        <v/>
      </c>
      <c r="F64" s="34">
        <f>IF(F63="","",0.85*$D$11*10*$D$42/$D$12*(1-SQRT(MAX(0,1-2*F63*100000/(0.9*0.85*$D$11*10*$D$42^2)))))</f>
        <v/>
      </c>
      <c r="G64" s="34">
        <f>IF(G63="","",0.85*$D$11*10*$D$42/$D$12*(1-SQRT(MAX(0,1-2*G63*100000/(0.9*0.85*$D$11*10*$D$42^2)))))</f>
        <v/>
      </c>
      <c r="H64" s="34">
        <f>IF(H63="","",0.85*$D$11*10*$D$42/$D$12*(1-SQRT(MAX(0,1-2*H63*100000/(0.9*0.85*$D$11*10*$D$42^2)))))</f>
        <v/>
      </c>
    </row>
    <row r="65">
      <c r="B65" s="38" t="inlineStr">
        <is>
          <t>As de diseño = máx(As, As mín) (cm²)</t>
        </is>
      </c>
      <c r="C65" s="34">
        <f>IF(C64="","",IF(C63=0,0.71,MAX(C64,$D$53)))</f>
        <v/>
      </c>
      <c r="D65" s="34">
        <f>IF(D64="","",IF(D63=0,0.71,MAX(D64,$D$53)))</f>
        <v/>
      </c>
      <c r="E65" s="34">
        <f>IF(E64="","",IF(E63=0,0.71,MAX(E64,$D$53)))</f>
        <v/>
      </c>
      <c r="F65" s="34">
        <f>IF(F64="","",IF(F63=0,0.71,MAX(F64,$D$53)))</f>
        <v/>
      </c>
      <c r="G65" s="34">
        <f>IF(G64="","",IF(G63=0,0.71,MAX(G64,$D$53)))</f>
        <v/>
      </c>
      <c r="H65" s="34">
        <f>IF(H64="","",IF(H63=0,0.71,MAX(H64,$D$53)))</f>
        <v/>
      </c>
    </row>
    <row r="66">
      <c r="B66" s="38" t="inlineStr">
        <is>
          <t>Bastón superior</t>
        </is>
      </c>
      <c r="C66" s="54">
        <f>IF(C65="","",IF(C65&gt;MAX(COMB_AS),"Aumentar h",INDEX(COMB_NOM,SUMPRODUCT(--(COMB_AS&lt;C65-0.0001))+1)))</f>
        <v/>
      </c>
      <c r="D66" s="54">
        <f>IF(D65="","",IF(D65&gt;MAX(COMB_AS),"Aumentar h",INDEX(COMB_NOM,SUMPRODUCT(--(COMB_AS&lt;D65-0.0001))+1)))</f>
        <v/>
      </c>
      <c r="E66" s="54">
        <f>IF(E65="","",IF(E65&gt;MAX(COMB_AS),"Aumentar h",INDEX(COMB_NOM,SUMPRODUCT(--(COMB_AS&lt;E65-0.0001))+1)))</f>
        <v/>
      </c>
      <c r="F66" s="54">
        <f>IF(F65="","",IF(F65&gt;MAX(COMB_AS),"Aumentar h",INDEX(COMB_NOM,SUMPRODUCT(--(COMB_AS&lt;F65-0.0001))+1)))</f>
        <v/>
      </c>
      <c r="G66" s="54">
        <f>IF(G65="","",IF(G65&gt;MAX(COMB_AS),"Aumentar h",INDEX(COMB_NOM,SUMPRODUCT(--(COMB_AS&lt;G65-0.0001))+1)))</f>
        <v/>
      </c>
      <c r="H66" s="54">
        <f>IF(H65="","",IF(H65&gt;MAX(COMB_AS),"Aumentar h",INDEX(COMB_NOM,SUMPRODUCT(--(COMB_AS&lt;H65-0.0001))+1)))</f>
        <v/>
      </c>
    </row>
    <row r="67">
      <c r="B67" s="38" t="inlineStr">
        <is>
          <t>As colocado (cm²)</t>
        </is>
      </c>
      <c r="C67" s="34">
        <f>IF(OR(C65="",C66="Aumentar h"),"",INDEX(COMB_AS,MATCH(C66,COMB_NOM,0)))</f>
        <v/>
      </c>
      <c r="D67" s="34">
        <f>IF(OR(D65="",D66="Aumentar h"),"",INDEX(COMB_AS,MATCH(D66,COMB_NOM,0)))</f>
        <v/>
      </c>
      <c r="E67" s="34">
        <f>IF(OR(E65="",E66="Aumentar h"),"",INDEX(COMB_AS,MATCH(E66,COMB_NOM,0)))</f>
        <v/>
      </c>
      <c r="F67" s="34">
        <f>IF(OR(F65="",F66="Aumentar h"),"",INDEX(COMB_AS,MATCH(F66,COMB_NOM,0)))</f>
        <v/>
      </c>
      <c r="G67" s="34">
        <f>IF(OR(G65="",G66="Aumentar h"),"",INDEX(COMB_AS,MATCH(G66,COMB_NOM,0)))</f>
        <v/>
      </c>
      <c r="H67" s="34">
        <f>IF(OR(H65="",H66="Aumentar h"),"",INDEX(COMB_AS,MATCH(H66,COMB_NOM,0)))</f>
        <v/>
      </c>
    </row>
    <row r="68">
      <c r="B68" s="38" t="inlineStr">
        <is>
          <t>Control (sección y As ≤ As máx)</t>
        </is>
      </c>
      <c r="C68" s="54">
        <f>IF(C63="","",IF(AND(1-2*C63*100000/(0.9*0.85*$D$11*10*$D$42^2)&gt;=0,C65&lt;=$D$54),"CUMPLE","NO CUMPLE: ensanche"))</f>
        <v/>
      </c>
      <c r="D68" s="54">
        <f>IF(D63="","",IF(AND(1-2*D63*100000/(0.9*0.85*$D$11*10*$D$42^2)&gt;=0,D65&lt;=$D$54),"CUMPLE","NO CUMPLE: ensanche"))</f>
        <v/>
      </c>
      <c r="E68" s="54">
        <f>IF(E63="","",IF(AND(1-2*E63*100000/(0.9*0.85*$D$11*10*$D$42^2)&gt;=0,E65&lt;=$D$54),"CUMPLE","NO CUMPLE: ensanche"))</f>
        <v/>
      </c>
      <c r="F68" s="54">
        <f>IF(F63="","",IF(AND(1-2*F63*100000/(0.9*0.85*$D$11*10*$D$42^2)&gt;=0,F65&lt;=$D$54),"CUMPLE","NO CUMPLE: ensanche"))</f>
        <v/>
      </c>
      <c r="G68" s="54">
        <f>IF(G63="","",IF(AND(1-2*G63*100000/(0.9*0.85*$D$11*10*$D$42^2)&gt;=0,G65&lt;=$D$54),"CUMPLE","NO CUMPLE: ensanche"))</f>
        <v/>
      </c>
      <c r="H68" s="54">
        <f>IF(H63="","",IF(AND(1-2*H63*100000/(0.9*0.85*$D$11*10*$D$42^2)&gt;=0,H65&lt;=$D$54),"CUMPLE","NO CUMPLE: ensanche"))</f>
        <v/>
      </c>
    </row>
    <row r="69">
      <c r="B69" s="27" t="inlineStr">
        <is>
          <t>Apoyo extremo sobre muro de albañilería: M = 0; se coloca 1 Ø 3/8" de montaje (acero mínimo constructivo).</t>
        </is>
      </c>
    </row>
    <row r="71" ht="17" customHeight="1">
      <c r="B71" s="21" t="inlineStr">
        <is>
          <t>6. MOMENTOS POSITIVOS EN LOS TRAMOS (E.060 8.3.3)</t>
        </is>
      </c>
    </row>
    <row r="72">
      <c r="B72" s="50" t="inlineStr">
        <is>
          <t>Concepto</t>
        </is>
      </c>
      <c r="C72" s="42" t="inlineStr"/>
      <c r="D72" s="42" t="inlineStr">
        <is>
          <t>Tramo 1</t>
        </is>
      </c>
      <c r="E72" s="42" t="inlineStr">
        <is>
          <t>Tramo 2</t>
        </is>
      </c>
      <c r="F72" s="42" t="inlineStr">
        <is>
          <t>Tramo 3</t>
        </is>
      </c>
      <c r="G72" s="42" t="inlineStr">
        <is>
          <t>Tramo 4</t>
        </is>
      </c>
      <c r="H72" s="42" t="inlineStr">
        <is>
          <t>Tramo 5</t>
        </is>
      </c>
    </row>
    <row r="73">
      <c r="B73" s="38" t="inlineStr">
        <is>
          <t>Coeficiente</t>
        </is>
      </c>
      <c r="D73" s="51">
        <f>IF($D$21&lt;1,"",IF($D$21=1,1/8,IF(OR(1=1,1=$D$21),(IF($D$20="Viga (monolítico)",1/14,1/11)),1/16)))</f>
        <v/>
      </c>
      <c r="E73" s="51">
        <f>IF($D$21&lt;2,"",IF($D$21=1,1/8,IF(OR(2=1,2=$D$21),(IF($D$20="Viga (monolítico)",1/14,1/11)),1/16)))</f>
        <v/>
      </c>
      <c r="F73" s="51">
        <f>IF($D$21&lt;3,"",IF($D$21=1,1/8,IF(OR(3=1,3=$D$21),(IF($D$20="Viga (monolítico)",1/14,1/11)),1/16)))</f>
        <v/>
      </c>
      <c r="G73" s="51">
        <f>IF($D$21&lt;4,"",IF($D$21=1,1/8,IF(OR(4=1,4=$D$21),(IF($D$20="Viga (monolítico)",1/14,1/11)),1/16)))</f>
        <v/>
      </c>
      <c r="H73" s="51">
        <f>IF($D$21&lt;5,"",IF($D$21=1,1/8,IF(OR(5=1,5=$D$21),(IF($D$20="Viga (monolítico)",1/14,1/11)),1/16)))</f>
        <v/>
      </c>
    </row>
    <row r="74">
      <c r="B74" s="38" t="inlineStr">
        <is>
          <t>Coeficiente (fracción)</t>
        </is>
      </c>
      <c r="D74" s="52">
        <f>IF(D73="","","1/"&amp;ROUND(1/D73,0))</f>
        <v/>
      </c>
      <c r="E74" s="52">
        <f>IF(E73="","","1/"&amp;ROUND(1/E73,0))</f>
        <v/>
      </c>
      <c r="F74" s="52">
        <f>IF(F73="","","1/"&amp;ROUND(1/F73,0))</f>
        <v/>
      </c>
      <c r="G74" s="52">
        <f>IF(G73="","","1/"&amp;ROUND(1/G73,0))</f>
        <v/>
      </c>
      <c r="H74" s="52">
        <f>IF(H73="","","1/"&amp;ROUND(1/H73,0))</f>
        <v/>
      </c>
    </row>
    <row r="75">
      <c r="B75" s="38" t="inlineStr">
        <is>
          <t>Mu+ = coef·wu·ln² (t·m)</t>
        </is>
      </c>
      <c r="D75" s="39">
        <f>IF(D73="","",D73*$D$32*$D$24^2)</f>
        <v/>
      </c>
      <c r="E75" s="39">
        <f>IF(E73="","",E73*$D$32*$E$24^2)</f>
        <v/>
      </c>
      <c r="F75" s="39">
        <f>IF(F73="","",F73*$D$32*$F$24^2)</f>
        <v/>
      </c>
      <c r="G75" s="39">
        <f>IF(G73="","",G73*$D$32*$G$24^2)</f>
        <v/>
      </c>
      <c r="H75" s="39">
        <f>IF(H73="","",H73*$D$32*$H$24^2)</f>
        <v/>
      </c>
    </row>
    <row r="76">
      <c r="B76" s="38" t="inlineStr">
        <is>
          <t>As requerido (b = 40 cm) (cm²)</t>
        </is>
      </c>
      <c r="D76" s="34">
        <f>IF(D75="","",0.85*$D$11*40*$D$42/$D$12*(1-SQRT(MAX(0,1-2*D75*100000/(0.9*0.85*$D$11*40*$D$42^2)))))</f>
        <v/>
      </c>
      <c r="E76" s="34">
        <f>IF(E75="","",0.85*$D$11*40*$D$42/$D$12*(1-SQRT(MAX(0,1-2*E75*100000/(0.9*0.85*$D$11*40*$D$42^2)))))</f>
        <v/>
      </c>
      <c r="F76" s="34">
        <f>IF(F75="","",0.85*$D$11*40*$D$42/$D$12*(1-SQRT(MAX(0,1-2*F75*100000/(0.9*0.85*$D$11*40*$D$42^2)))))</f>
        <v/>
      </c>
      <c r="G76" s="34">
        <f>IF(G75="","",0.85*$D$11*40*$D$42/$D$12*(1-SQRT(MAX(0,1-2*G75*100000/(0.9*0.85*$D$11*40*$D$42^2)))))</f>
        <v/>
      </c>
      <c r="H76" s="34">
        <f>IF(H75="","",0.85*$D$11*40*$D$42/$D$12*(1-SQRT(MAX(0,1-2*H75*100000/(0.9*0.85*$D$11*40*$D$42^2)))))</f>
        <v/>
      </c>
    </row>
    <row r="77">
      <c r="B77" s="38" t="inlineStr">
        <is>
          <t>Profundidad del bloque a (cm)</t>
        </is>
      </c>
      <c r="D77" s="34">
        <f>IF(D76="","",D76*$D$12/(0.85*$D$11*40))</f>
        <v/>
      </c>
      <c r="E77" s="34">
        <f>IF(E76="","",E76*$D$12/(0.85*$D$11*40))</f>
        <v/>
      </c>
      <c r="F77" s="34">
        <f>IF(F76="","",F76*$D$12/(0.85*$D$11*40))</f>
        <v/>
      </c>
      <c r="G77" s="34">
        <f>IF(G76="","",G76*$D$12/(0.85*$D$11*40))</f>
        <v/>
      </c>
      <c r="H77" s="34">
        <f>IF(H76="","",H76*$D$12/(0.85*$D$11*40))</f>
        <v/>
      </c>
    </row>
    <row r="78">
      <c r="B78" s="38" t="inlineStr">
        <is>
          <t>As de diseño = máx(As, As mín) (cm²)</t>
        </is>
      </c>
      <c r="D78" s="34">
        <f>IF(D76="","",MAX(D76,$D$52))</f>
        <v/>
      </c>
      <c r="E78" s="34">
        <f>IF(E76="","",MAX(E76,$D$52))</f>
        <v/>
      </c>
      <c r="F78" s="34">
        <f>IF(F76="","",MAX(F76,$D$52))</f>
        <v/>
      </c>
      <c r="G78" s="34">
        <f>IF(G76="","",MAX(G76,$D$52))</f>
        <v/>
      </c>
      <c r="H78" s="34">
        <f>IF(H76="","",MAX(H76,$D$52))</f>
        <v/>
      </c>
    </row>
    <row r="79">
      <c r="B79" s="38" t="inlineStr">
        <is>
          <t>Acero inferior</t>
        </is>
      </c>
      <c r="D79" s="54">
        <f>IF(D78="","",IF(D78&gt;MAX(COMB_AS),"Aumentar h",INDEX(COMB_NOM,SUMPRODUCT(--(COMB_AS&lt;D78-0.0001))+1)))</f>
        <v/>
      </c>
      <c r="E79" s="54">
        <f>IF(E78="","",IF(E78&gt;MAX(COMB_AS),"Aumentar h",INDEX(COMB_NOM,SUMPRODUCT(--(COMB_AS&lt;E78-0.0001))+1)))</f>
        <v/>
      </c>
      <c r="F79" s="54">
        <f>IF(F78="","",IF(F78&gt;MAX(COMB_AS),"Aumentar h",INDEX(COMB_NOM,SUMPRODUCT(--(COMB_AS&lt;F78-0.0001))+1)))</f>
        <v/>
      </c>
      <c r="G79" s="54">
        <f>IF(G78="","",IF(G78&gt;MAX(COMB_AS),"Aumentar h",INDEX(COMB_NOM,SUMPRODUCT(--(COMB_AS&lt;G78-0.0001))+1)))</f>
        <v/>
      </c>
      <c r="H79" s="54">
        <f>IF(H78="","",IF(H78&gt;MAX(COMB_AS),"Aumentar h",INDEX(COMB_NOM,SUMPRODUCT(--(COMB_AS&lt;H78-0.0001))+1)))</f>
        <v/>
      </c>
    </row>
    <row r="80">
      <c r="B80" s="38" t="inlineStr">
        <is>
          <t>As colocado (cm²)</t>
        </is>
      </c>
      <c r="D80" s="34">
        <f>IF(OR(D78="",D79="Aumentar h"),"",INDEX(COMB_AS,MATCH(D79,COMB_NOM,0)))</f>
        <v/>
      </c>
      <c r="E80" s="34">
        <f>IF(OR(E78="",E79="Aumentar h"),"",INDEX(COMB_AS,MATCH(E79,COMB_NOM,0)))</f>
        <v/>
      </c>
      <c r="F80" s="34">
        <f>IF(OR(F78="",F79="Aumentar h"),"",INDEX(COMB_AS,MATCH(F79,COMB_NOM,0)))</f>
        <v/>
      </c>
      <c r="G80" s="34">
        <f>IF(OR(G78="",G79="Aumentar h"),"",INDEX(COMB_AS,MATCH(G79,COMB_NOM,0)))</f>
        <v/>
      </c>
      <c r="H80" s="34">
        <f>IF(OR(H78="",H79="Aumentar h"),"",INDEX(COMB_AS,MATCH(H79,COMB_NOM,0)))</f>
        <v/>
      </c>
    </row>
    <row r="81">
      <c r="B81" s="38" t="inlineStr">
        <is>
          <t>Control (a ≤ hf = 5 cm y As ≤ As máx)</t>
        </is>
      </c>
      <c r="D81" s="54">
        <f>IF(D75="","",IF(AND(D77&lt;=5,D78&lt;=$D$56),"CUMPLE","REVISAR: viga T"))</f>
        <v/>
      </c>
      <c r="E81" s="54">
        <f>IF(E75="","",IF(AND(E77&lt;=5,E78&lt;=$D$56),"CUMPLE","REVISAR: viga T"))</f>
        <v/>
      </c>
      <c r="F81" s="54">
        <f>IF(F75="","",IF(AND(F77&lt;=5,F78&lt;=$D$56),"CUMPLE","REVISAR: viga T"))</f>
        <v/>
      </c>
      <c r="G81" s="54">
        <f>IF(G75="","",IF(AND(G77&lt;=5,G78&lt;=$D$56),"CUMPLE","REVISAR: viga T"))</f>
        <v/>
      </c>
      <c r="H81" s="54">
        <f>IF(H75="","",IF(AND(H77&lt;=5,H78&lt;=$D$56),"CUMPLE","REVISAR: viga T"))</f>
        <v/>
      </c>
    </row>
    <row r="83" ht="17" customHeight="1">
      <c r="B83" s="21" t="inlineStr">
        <is>
          <t>7. VERIFICACIÓN POR CORTANTE EN LAS VIGUETAS (E.060 8.11.8 y 11.3)</t>
        </is>
      </c>
    </row>
    <row r="84" ht="24" customHeight="1">
      <c r="B84" s="9" t="inlineStr">
        <is>
          <t>φVc = 0.85·1.1·0.53·√f'c·bw·d (10 % adicional en viguetas)</t>
        </is>
      </c>
      <c r="C84" s="22" t="inlineStr">
        <is>
          <t>φVc</t>
        </is>
      </c>
      <c r="D84" s="39">
        <f>0.85*1.1*0.53*SQRT($D$11)*10*$D$42/1000</f>
        <v/>
      </c>
      <c r="E84" s="24" t="inlineStr">
        <is>
          <t>t</t>
        </is>
      </c>
    </row>
    <row r="85">
      <c r="B85" s="50" t="inlineStr">
        <is>
          <t>Concepto</t>
        </is>
      </c>
      <c r="C85" s="42" t="inlineStr"/>
      <c r="D85" s="42" t="inlineStr">
        <is>
          <t>Tramo 1</t>
        </is>
      </c>
      <c r="E85" s="42" t="inlineStr">
        <is>
          <t>Tramo 2</t>
        </is>
      </c>
      <c r="F85" s="42" t="inlineStr">
        <is>
          <t>Tramo 3</t>
        </is>
      </c>
      <c r="G85" s="42" t="inlineStr">
        <is>
          <t>Tramo 4</t>
        </is>
      </c>
      <c r="H85" s="42" t="inlineStr">
        <is>
          <t>Tramo 5</t>
        </is>
      </c>
    </row>
    <row r="86">
      <c r="B86" s="38" t="inlineStr">
        <is>
          <t>Vu en la cara (1.15 en el primer apoyo interior) (t)</t>
        </is>
      </c>
      <c r="D86" s="39">
        <f>IF($D$21&lt;1,"",$D$32*$D$24/2*IF(AND($D$21&gt;=2,OR(1=1,1=$D$21)),1.15,1))</f>
        <v/>
      </c>
      <c r="E86" s="39">
        <f>IF($D$21&lt;2,"",$D$32*$E$24/2*IF(AND($D$21&gt;=2,OR(2=1,2=$D$21)),1.15,1))</f>
        <v/>
      </c>
      <c r="F86" s="39">
        <f>IF($D$21&lt;3,"",$D$32*$F$24/2*IF(AND($D$21&gt;=2,OR(3=1,3=$D$21)),1.15,1))</f>
        <v/>
      </c>
      <c r="G86" s="39">
        <f>IF($D$21&lt;4,"",$D$32*$G$24/2*IF(AND($D$21&gt;=2,OR(4=1,4=$D$21)),1.15,1))</f>
        <v/>
      </c>
      <c r="H86" s="39">
        <f>IF($D$21&lt;5,"",$D$32*$H$24/2*IF(AND($D$21&gt;=2,OR(5=1,5=$D$21)),1.15,1))</f>
        <v/>
      </c>
    </row>
    <row r="87">
      <c r="B87" s="38" t="inlineStr">
        <is>
          <t>Vu a «d» de la cara (t)</t>
        </is>
      </c>
      <c r="D87" s="39">
        <f>IF(D86="","",D86-$D$32*$D$42/100)</f>
        <v/>
      </c>
      <c r="E87" s="39">
        <f>IF(E86="","",E86-$D$32*$D$42/100)</f>
        <v/>
      </c>
      <c r="F87" s="39">
        <f>IF(F86="","",F86-$D$32*$D$42/100)</f>
        <v/>
      </c>
      <c r="G87" s="39">
        <f>IF(G86="","",G86-$D$32*$D$42/100)</f>
        <v/>
      </c>
      <c r="H87" s="39">
        <f>IF(H86="","",H86-$D$32*$D$42/100)</f>
        <v/>
      </c>
    </row>
    <row r="88">
      <c r="B88" s="38" t="inlineStr">
        <is>
          <t>Control Vu ≤ φVc</t>
        </is>
      </c>
      <c r="D88" s="54">
        <f>IF(D87="","",IF(D87&lt;=$D$84,"CUMPLE","NO CUMPLE: ensanche"))</f>
        <v/>
      </c>
      <c r="E88" s="54">
        <f>IF(E87="","",IF(E87&lt;=$D$84,"CUMPLE","NO CUMPLE: ensanche"))</f>
        <v/>
      </c>
      <c r="F88" s="54">
        <f>IF(F87="","",IF(F87&lt;=$D$84,"CUMPLE","NO CUMPLE: ensanche"))</f>
        <v/>
      </c>
      <c r="G88" s="54">
        <f>IF(G87="","",IF(G87&lt;=$D$84,"CUMPLE","NO CUMPLE: ensanche"))</f>
        <v/>
      </c>
      <c r="H88" s="54">
        <f>IF(H87="","",IF(H87&lt;=$D$84,"CUMPLE","NO CUMPLE: ensanche"))</f>
        <v/>
      </c>
    </row>
    <row r="89">
      <c r="B89" s="27" t="inlineStr">
        <is>
          <t>Si no cumple: ensanche alternado o corrido de viguetas en la zona del apoyo (retirando ladrillos) o aumente h.</t>
        </is>
      </c>
    </row>
    <row r="91" ht="17" customHeight="1">
      <c r="B91" s="21" t="inlineStr">
        <is>
          <t>8. DEFLEXIONES EN SERVICIO (E.060 9.6.2, Tabla 9.2)</t>
        </is>
      </c>
    </row>
    <row r="92" ht="24" customHeight="1">
      <c r="B92" s="27" t="inlineStr">
        <is>
          <t>Δ = 5·ln²/(48·Ec·Ie)·[Mm − 0.1(M1 + M2)] con Ie de Branson (9.6.2.4). Diferida: λ = 2 (5 años, ρ' = 0). Límites (Tabla 9.2): ΔL ≤ ℓ/360 y λ·ΔD + ΔL ≤ ℓ/480 (con tabiques frágiles) o ℓ/240.</t>
        </is>
      </c>
    </row>
    <row r="93" ht="13.5" customHeight="1">
      <c r="B93" s="9" t="inlineStr">
        <is>
          <t>Módulo del concreto Ec = 15000·√f'c</t>
        </is>
      </c>
      <c r="C93" s="22" t="inlineStr">
        <is>
          <t>Ec</t>
        </is>
      </c>
      <c r="D93" s="28">
        <f>15000*SQRT($D$11)</f>
        <v/>
      </c>
      <c r="E93" s="24" t="inlineStr">
        <is>
          <t>kgf/cm²</t>
        </is>
      </c>
      <c r="F93" s="27" t="inlineStr">
        <is>
          <t>E.060 8.5</t>
        </is>
      </c>
    </row>
    <row r="94" ht="13.5" customHeight="1">
      <c r="B94" s="9" t="inlineStr">
        <is>
          <t>Relación modular n = Es/Ec</t>
        </is>
      </c>
      <c r="C94" s="22" t="inlineStr">
        <is>
          <t>n</t>
        </is>
      </c>
      <c r="D94" s="34">
        <f>2000000/$D$93</f>
        <v/>
      </c>
      <c r="E94" s="24" t="inlineStr"/>
    </row>
    <row r="95" ht="13.5" customHeight="1">
      <c r="B95" s="9" t="inlineStr">
        <is>
          <t>Carga de servicio por vigueta wD + wL</t>
        </is>
      </c>
      <c r="C95" s="22" t="inlineStr">
        <is>
          <t>ws</t>
        </is>
      </c>
      <c r="D95" s="39">
        <f>$D$30+$D$31</f>
        <v/>
      </c>
      <c r="E95" s="24" t="inlineStr">
        <is>
          <t>t/m</t>
        </is>
      </c>
    </row>
    <row r="96">
      <c r="B96" s="50" t="inlineStr">
        <is>
          <t>Concepto</t>
        </is>
      </c>
      <c r="C96" s="42" t="inlineStr"/>
      <c r="D96" s="42" t="inlineStr">
        <is>
          <t>Tramo 1</t>
        </is>
      </c>
      <c r="E96" s="42" t="inlineStr">
        <is>
          <t>Tramo 2</t>
        </is>
      </c>
      <c r="F96" s="42" t="inlineStr">
        <is>
          <t>Tramo 3</t>
        </is>
      </c>
      <c r="G96" s="42" t="inlineStr">
        <is>
          <t>Tramo 4</t>
        </is>
      </c>
      <c r="H96" s="42" t="inlineStr">
        <is>
          <t>Tramo 5</t>
        </is>
      </c>
    </row>
    <row r="97">
      <c r="B97" s="38" t="inlineStr">
        <is>
          <t>Mm servicio al centro (t·m)</t>
        </is>
      </c>
      <c r="D97" s="39">
        <f>IF(D73="","",D73*$D$95*$D$24^2)</f>
        <v/>
      </c>
      <c r="E97" s="39">
        <f>IF(E73="","",E73*$D$95*$E$24^2)</f>
        <v/>
      </c>
      <c r="F97" s="39">
        <f>IF(F73="","",F73*$D$95*$F$24^2)</f>
        <v/>
      </c>
      <c r="G97" s="39">
        <f>IF(G73="","",G73*$D$95*$G$24^2)</f>
        <v/>
      </c>
      <c r="H97" s="39">
        <f>IF(H73="","",H73*$D$95*$H$24^2)</f>
        <v/>
      </c>
    </row>
    <row r="98">
      <c r="B98" s="38" t="inlineStr">
        <is>
          <t>M1 + M2 servicio en apoyos (t·m)</t>
        </is>
      </c>
      <c r="D98" s="39">
        <f>IF(D73="","",IF($D$21=1,0,C60*$D$95*C62^2+D60*$D$95*D62^2))</f>
        <v/>
      </c>
      <c r="E98" s="39">
        <f>IF(E73="","",IF($D$21=1,0,D60*$D$95*D62^2+E60*$D$95*E62^2))</f>
        <v/>
      </c>
      <c r="F98" s="39">
        <f>IF(F73="","",IF($D$21=1,0,E60*$D$95*E62^2+F60*$D$95*F62^2))</f>
        <v/>
      </c>
      <c r="G98" s="39">
        <f>IF(G73="","",IF($D$21=1,0,F60*$D$95*F62^2+G60*$D$95*G62^2))</f>
        <v/>
      </c>
      <c r="H98" s="39">
        <f>IF(H73="","",IF($D$21=1,0,G60*$D$95*G62^2+H60*$D$95*H62^2))</f>
        <v/>
      </c>
    </row>
    <row r="99">
      <c r="B99" s="38" t="inlineStr">
        <is>
          <t>Eje neutro fisurado kd (cm)</t>
        </is>
      </c>
      <c r="D99" s="34">
        <f>IF(D80="","",(-$D$94*D80+SQRT(($D$94*D80)^2+2*40*$D$94*D80*$D$42))/40)</f>
        <v/>
      </c>
      <c r="E99" s="34">
        <f>IF(E80="","",(-$D$94*E80+SQRT(($D$94*E80)^2+2*40*$D$94*E80*$D$42))/40)</f>
        <v/>
      </c>
      <c r="F99" s="34">
        <f>IF(F80="","",(-$D$94*F80+SQRT(($D$94*F80)^2+2*40*$D$94*F80*$D$42))/40)</f>
        <v/>
      </c>
      <c r="G99" s="34">
        <f>IF(G80="","",(-$D$94*G80+SQRT(($D$94*G80)^2+2*40*$D$94*G80*$D$42))/40)</f>
        <v/>
      </c>
      <c r="H99" s="34">
        <f>IF(H80="","",(-$D$94*H80+SQRT(($D$94*H80)^2+2*40*$D$94*H80*$D$42))/40)</f>
        <v/>
      </c>
    </row>
    <row r="100">
      <c r="B100" s="38" t="inlineStr">
        <is>
          <t>Icr = b·kd³/3 + n·As·(d − kd)² (cm⁴)</t>
        </is>
      </c>
      <c r="D100" s="28">
        <f>IF(D99="","",40*D99^3/3+$D$94*D80*($D$42-D99)^2)</f>
        <v/>
      </c>
      <c r="E100" s="28">
        <f>IF(E99="","",40*E99^3/3+$D$94*E80*($D$42-E99)^2)</f>
        <v/>
      </c>
      <c r="F100" s="28">
        <f>IF(F99="","",40*F99^3/3+$D$94*F80*($D$42-F99)^2)</f>
        <v/>
      </c>
      <c r="G100" s="28">
        <f>IF(G99="","",40*G99^3/3+$D$94*G80*($D$42-G99)^2)</f>
        <v/>
      </c>
      <c r="H100" s="28">
        <f>IF(H99="","",40*H99^3/3+$D$94*H80*($D$42-H99)^2)</f>
        <v/>
      </c>
    </row>
    <row r="101">
      <c r="B101" s="38" t="inlineStr">
        <is>
          <t>Ie (Branson) (cm⁴)</t>
        </is>
      </c>
      <c r="D101" s="28">
        <f>IF(D97="","",IF(D97&lt;=$D$50,$D$48,MIN($D$48,($D$50/D97)^3*$D$48+(1-($D$50/D97)^3)*D100)))</f>
        <v/>
      </c>
      <c r="E101" s="28">
        <f>IF(E97="","",IF(E97&lt;=$D$50,$D$48,MIN($D$48,($D$50/E97)^3*$D$48+(1-($D$50/E97)^3)*E100)))</f>
        <v/>
      </c>
      <c r="F101" s="28">
        <f>IF(F97="","",IF(F97&lt;=$D$50,$D$48,MIN($D$48,($D$50/F97)^3*$D$48+(1-($D$50/F97)^3)*F100)))</f>
        <v/>
      </c>
      <c r="G101" s="28">
        <f>IF(G97="","",IF(G97&lt;=$D$50,$D$48,MIN($D$48,($D$50/G97)^3*$D$48+(1-($D$50/G97)^3)*G100)))</f>
        <v/>
      </c>
      <c r="H101" s="28">
        <f>IF(H97="","",IF(H97&lt;=$D$50,$D$48,MIN($D$48,($D$50/H97)^3*$D$48+(1-($D$50/H97)^3)*H100)))</f>
        <v/>
      </c>
    </row>
    <row r="102">
      <c r="B102" s="38" t="inlineStr">
        <is>
          <t>Δ inmediata CM + CV (cm)</t>
        </is>
      </c>
      <c r="D102" s="39">
        <f>IF(D97="","",MAX(0,5*($D$24*100)^2/(48*$D$93*D101)*(D97-0.1*D98)*100000))</f>
        <v/>
      </c>
      <c r="E102" s="39">
        <f>IF(E97="","",MAX(0,5*($E$24*100)^2/(48*$D$93*E101)*(E97-0.1*E98)*100000))</f>
        <v/>
      </c>
      <c r="F102" s="39">
        <f>IF(F97="","",MAX(0,5*($F$24*100)^2/(48*$D$93*F101)*(F97-0.1*F98)*100000))</f>
        <v/>
      </c>
      <c r="G102" s="39">
        <f>IF(G97="","",MAX(0,5*($G$24*100)^2/(48*$D$93*G101)*(G97-0.1*G98)*100000))</f>
        <v/>
      </c>
      <c r="H102" s="39">
        <f>IF(H97="","",MAX(0,5*($H$24*100)^2/(48*$D$93*H101)*(H97-0.1*H98)*100000))</f>
        <v/>
      </c>
    </row>
    <row r="103">
      <c r="B103" s="38" t="inlineStr">
        <is>
          <t>Ie solo con CM (cm⁴)</t>
        </is>
      </c>
      <c r="D103" s="28">
        <f>IF(D97="","",IF(D97*$D$30/$D$95&lt;=$D$50,$D$48,MIN($D$48,($D$50/(D97*$D$30/$D$95))^3*$D$48+(1-($D$50/(D97*$D$30/$D$95))^3)*D100)))</f>
        <v/>
      </c>
      <c r="E103" s="28">
        <f>IF(E97="","",IF(E97*$D$30/$D$95&lt;=$D$50,$D$48,MIN($D$48,($D$50/(E97*$D$30/$D$95))^3*$D$48+(1-($D$50/(E97*$D$30/$D$95))^3)*E100)))</f>
        <v/>
      </c>
      <c r="F103" s="28">
        <f>IF(F97="","",IF(F97*$D$30/$D$95&lt;=$D$50,$D$48,MIN($D$48,($D$50/(F97*$D$30/$D$95))^3*$D$48+(1-($D$50/(F97*$D$30/$D$95))^3)*F100)))</f>
        <v/>
      </c>
      <c r="G103" s="28">
        <f>IF(G97="","",IF(G97*$D$30/$D$95&lt;=$D$50,$D$48,MIN($D$48,($D$50/(G97*$D$30/$D$95))^3*$D$48+(1-($D$50/(G97*$D$30/$D$95))^3)*G100)))</f>
        <v/>
      </c>
      <c r="H103" s="28">
        <f>IF(H97="","",IF(H97*$D$30/$D$95&lt;=$D$50,$D$48,MIN($D$48,($D$50/(H97*$D$30/$D$95))^3*$D$48+(1-($D$50/(H97*$D$30/$D$95))^3)*H100)))</f>
        <v/>
      </c>
    </row>
    <row r="104">
      <c r="B104" s="38" t="inlineStr">
        <is>
          <t>ΔD inmediata por CM (cm)</t>
        </is>
      </c>
      <c r="D104" s="39">
        <f>IF(D97="","",MAX(0,5*($D$24*100)^2/(48*$D$93*D103)*(D97-0.1*D98)*$D$30/$D$95*100000))</f>
        <v/>
      </c>
      <c r="E104" s="39">
        <f>IF(E97="","",MAX(0,5*($E$24*100)^2/(48*$D$93*E103)*(E97-0.1*E98)*$D$30/$D$95*100000))</f>
        <v/>
      </c>
      <c r="F104" s="39">
        <f>IF(F97="","",MAX(0,5*($F$24*100)^2/(48*$D$93*F103)*(F97-0.1*F98)*$D$30/$D$95*100000))</f>
        <v/>
      </c>
      <c r="G104" s="39">
        <f>IF(G97="","",MAX(0,5*($G$24*100)^2/(48*$D$93*G103)*(G97-0.1*G98)*$D$30/$D$95*100000))</f>
        <v/>
      </c>
      <c r="H104" s="39">
        <f>IF(H97="","",MAX(0,5*($H$24*100)^2/(48*$D$93*H103)*(H97-0.1*H98)*$D$30/$D$95*100000))</f>
        <v/>
      </c>
    </row>
    <row r="105">
      <c r="B105" s="38" t="inlineStr">
        <is>
          <t>ΔL = Δ(CM+CV) − ΔCM (cm)</t>
        </is>
      </c>
      <c r="D105" s="39">
        <f>IF(D102="","",MAX(0,D102-D104))</f>
        <v/>
      </c>
      <c r="E105" s="39">
        <f>IF(E102="","",MAX(0,E102-E104))</f>
        <v/>
      </c>
      <c r="F105" s="39">
        <f>IF(F102="","",MAX(0,F102-F104))</f>
        <v/>
      </c>
      <c r="G105" s="39">
        <f>IF(G102="","",MAX(0,G102-G104))</f>
        <v/>
      </c>
      <c r="H105" s="39">
        <f>IF(H102="","",MAX(0,H102-H104))</f>
        <v/>
      </c>
    </row>
    <row r="106">
      <c r="B106" s="38" t="inlineStr">
        <is>
          <t>2·ΔD + ΔL (cm)</t>
        </is>
      </c>
      <c r="D106" s="39">
        <f>IF(D102="","",2*D104+D105)</f>
        <v/>
      </c>
      <c r="E106" s="39">
        <f>IF(E102="","",2*E104+E105)</f>
        <v/>
      </c>
      <c r="F106" s="39">
        <f>IF(F102="","",2*F104+F105)</f>
        <v/>
      </c>
      <c r="G106" s="39">
        <f>IF(G102="","",2*G104+G105)</f>
        <v/>
      </c>
      <c r="H106" s="39">
        <f>IF(H102="","",2*H104+H105)</f>
        <v/>
      </c>
    </row>
    <row r="107">
      <c r="B107" s="38" t="inlineStr">
        <is>
          <t>Control ΔL ≤ ℓ/360 y 2ΔD + ΔL ≤ ℓ/480 (o ℓ/240)</t>
        </is>
      </c>
      <c r="D107" s="54">
        <f>IF(D102="","",IF(AND(D105&lt;=$D$24*100/360,D106&lt;=$D$24*100/IF($D$19="Sí",480,240)),"CUMPLE","NO CUMPLE: aumente h"))</f>
        <v/>
      </c>
      <c r="E107" s="54">
        <f>IF(E102="","",IF(AND(E105&lt;=$E$24*100/360,E106&lt;=$E$24*100/IF($D$19="Sí",480,240)),"CUMPLE","NO CUMPLE: aumente h"))</f>
        <v/>
      </c>
      <c r="F107" s="54">
        <f>IF(F102="","",IF(AND(F105&lt;=$F$24*100/360,F106&lt;=$F$24*100/IF($D$19="Sí",480,240)),"CUMPLE","NO CUMPLE: aumente h"))</f>
        <v/>
      </c>
      <c r="G107" s="54">
        <f>IF(G102="","",IF(AND(G105&lt;=$G$24*100/360,G106&lt;=$G$24*100/IF($D$19="Sí",480,240)),"CUMPLE","NO CUMPLE: aumente h"))</f>
        <v/>
      </c>
      <c r="H107" s="54">
        <f>IF(H102="","",IF(AND(H105&lt;=$H$24*100/360,H106&lt;=$H$24*100/IF($D$19="Sí",480,240)),"CUMPLE","NO CUMPLE: aumente h"))</f>
        <v/>
      </c>
    </row>
    <row r="109" ht="17" customHeight="1">
      <c r="B109" s="21" t="inlineStr">
        <is>
          <t>9. ACERO DE TEMPERATURA EN LA LOSA SUPERIOR (E.060 9.7)</t>
        </is>
      </c>
    </row>
    <row r="110" ht="13.5" customHeight="1">
      <c r="B110" s="9" t="inlineStr">
        <is>
          <t>As = 0.0018·b·hf (b = 100 cm, hf = 5 cm)</t>
        </is>
      </c>
      <c r="C110" s="22" t="inlineStr">
        <is>
          <t>Ast</t>
        </is>
      </c>
      <c r="D110" s="34">
        <f>0.0018*100*5</f>
        <v/>
      </c>
      <c r="E110" s="24" t="inlineStr">
        <is>
          <t>cm²/m</t>
        </is>
      </c>
    </row>
    <row r="111" ht="13.5" customHeight="1">
      <c r="B111" s="9" t="inlineStr">
        <is>
          <t>Espaciamiento con Ø 1/4"</t>
        </is>
      </c>
      <c r="C111" s="22" t="inlineStr">
        <is>
          <t>s</t>
        </is>
      </c>
      <c r="D111" s="26">
        <f>MIN(FLOOR(0.32/$D$110*100,2.5),5*5,40)</f>
        <v/>
      </c>
      <c r="E111" s="24" t="inlineStr">
        <is>
          <t>cm</t>
        </is>
      </c>
      <c r="F111" s="27" t="inlineStr">
        <is>
          <t>s ≤ 5·hf y 40 cm</t>
        </is>
      </c>
    </row>
    <row r="112" ht="24" customHeight="1">
      <c r="B112" s="9" t="inlineStr">
        <is>
          <t>ACERO DE TEMPERATURA (perpendicular a las viguetas)</t>
        </is>
      </c>
      <c r="C112" s="22" t="inlineStr"/>
      <c r="D112" s="44">
        <f>"Ø 1/4"" @ "&amp;FIXED($D$111/100,IF(MOD(ROUND($D$111*10,0),50)=0,2,3))&amp;" m"</f>
        <v/>
      </c>
      <c r="E112" s="30" t="n"/>
      <c r="F112" s="30" t="n"/>
      <c r="G112" s="30" t="n"/>
      <c r="H112" s="30" t="n"/>
    </row>
    <row r="114" ht="17" customHeight="1">
      <c r="B114" s="21" t="inlineStr">
        <is>
          <t>10. RESUMEN</t>
        </is>
      </c>
    </row>
    <row r="115" ht="13.5" customHeight="1">
      <c r="B115" s="9" t="inlineStr">
        <is>
          <t>ESTADO GENERAL DEL DISEÑO</t>
        </is>
      </c>
      <c r="C115" s="29">
        <f>IF(AND($C$39="CUMPLE",$C$41="CUMPLE",COUNTIF($C$68:$H$68,"NO*")=0,COUNTIF($D$88:$H$88,"NO*")=0,COUNTIF($D$107:$H$107,"NO*")=0,COUNTIF($C$66:$H$66,"Aumentar*")=0,COUNTIF($D$79:$H$79,"Aumentar*")=0),"CUMPLE","NO CUMPLE")</f>
        <v/>
      </c>
      <c r="D115" s="30" t="n"/>
      <c r="E115" s="30" t="n"/>
      <c r="F115" s="27" t="inlineStr">
        <is>
          <t>Revise las tablas de momentos y de cortante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9">
    <mergeCell ref="F20:H20"/>
    <mergeCell ref="D20:E20"/>
    <mergeCell ref="F36:H36"/>
    <mergeCell ref="C41:E41"/>
    <mergeCell ref="F18:H18"/>
    <mergeCell ref="F41:H41"/>
    <mergeCell ref="B83:H83"/>
    <mergeCell ref="F32:H32"/>
    <mergeCell ref="B92:H92"/>
    <mergeCell ref="F17:H17"/>
    <mergeCell ref="B114:H114"/>
    <mergeCell ref="D14:G14"/>
    <mergeCell ref="F47:H47"/>
    <mergeCell ref="B89:H89"/>
    <mergeCell ref="C115:E115"/>
    <mergeCell ref="F38:H38"/>
    <mergeCell ref="F28:H28"/>
    <mergeCell ref="F115:H115"/>
    <mergeCell ref="F13:H13"/>
    <mergeCell ref="C39:E39"/>
    <mergeCell ref="B91:H91"/>
    <mergeCell ref="F93:H93"/>
    <mergeCell ref="B109:H109"/>
    <mergeCell ref="F111:H111"/>
    <mergeCell ref="F56:H56"/>
    <mergeCell ref="B25:H25"/>
    <mergeCell ref="F37:H37"/>
    <mergeCell ref="C7:H7"/>
    <mergeCell ref="F39:H39"/>
    <mergeCell ref="B46:H46"/>
    <mergeCell ref="B27:H27"/>
    <mergeCell ref="C37:E37"/>
    <mergeCell ref="B58:H58"/>
    <mergeCell ref="F49:H49"/>
    <mergeCell ref="B71:H71"/>
    <mergeCell ref="D112:H112"/>
    <mergeCell ref="B2:H2"/>
    <mergeCell ref="C3:H3"/>
    <mergeCell ref="C6:H6"/>
    <mergeCell ref="F16:H16"/>
    <mergeCell ref="F19:H19"/>
    <mergeCell ref="B1:H1"/>
    <mergeCell ref="C5:H5"/>
    <mergeCell ref="B69:H69"/>
    <mergeCell ref="F40:H40"/>
    <mergeCell ref="C4:H4"/>
    <mergeCell ref="B10:H10"/>
    <mergeCell ref="F21:H21"/>
    <mergeCell ref="B34:H34"/>
  </mergeCells>
  <conditionalFormatting sqref="B1:H116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5">
    <dataValidation sqref="D13" showDropDown="0" showInputMessage="0" showErrorMessage="0" allowBlank="0" errorTitle="Valor no válido" error="Elija un valor de la lista" type="list">
      <formula1>=ALIG_H</formula1>
    </dataValidation>
    <dataValidation sqref="D14" showDropDown="0" showInputMessage="0" showErrorMessage="0" allowBlank="0" errorTitle="Valor no válido" error="Elija un valor de la lista" type="list">
      <formula1>=USO_NOM</formula1>
    </dataValidation>
    <dataValidation sqref="D19" showDropDown="0" showInputMessage="0" showErrorMessage="0" allowBlank="0" errorTitle="Valor no válido" error="Elija un valor de la lista" type="list">
      <formula1>"Sí,No"</formula1>
    </dataValidation>
    <dataValidation sqref="D20" showDropDown="0" showInputMessage="0" showErrorMessage="0" allowBlank="0" errorTitle="Valor no válido" error="Elija un valor de la lista" type="list">
      <formula1>"Viga (monolítico),Muro de albañilería"</formula1>
    </dataValidation>
    <dataValidation sqref="D21" showDropDown="0" showInputMessage="0" showErrorMessage="0" allowBlank="0" errorTitle="Valor no válido" error="Elija un valor de la lista" type="list">
      <formula1>"1,2,3,4,5"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I96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8" max="8"/>
    <col hidden="1" width="13" customWidth="1" min="9" max="9"/>
  </cols>
  <sheetData>
    <row r="1" ht="24" customHeight="1">
      <c r="B1" s="14" t="inlineStr">
        <is>
          <t>DISEÑO DE ESCALERA DE UN TRAMO CON DESCANSO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Escalera E-1, tramo 1</t>
        </is>
      </c>
      <c r="D5" s="18" t="n"/>
      <c r="E5" s="18" t="n"/>
      <c r="F5" s="18" t="n"/>
      <c r="H5" s="46" t="inlineStr">
        <is>
          <t>Croquis</t>
        </is>
      </c>
      <c r="I5" s="46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H6" s="46">
        <f>-$D$19/2</f>
        <v/>
      </c>
      <c r="I6" s="46" t="n">
        <v>0</v>
      </c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H7" s="46">
        <f>MIN(0,$D$17-1)*$D$15/100</f>
        <v/>
      </c>
      <c r="I7" s="46">
        <f>MIN(0,$D$17)*$D$16/100</f>
        <v/>
      </c>
    </row>
    <row r="8">
      <c r="H8" s="46">
        <f>MIN(0,$D$17-1)*$D$15/100</f>
        <v/>
      </c>
      <c r="I8" s="46">
        <f>MIN(0+1,$D$17)*$D$16/100</f>
        <v/>
      </c>
    </row>
    <row r="9">
      <c r="H9" s="46">
        <f>MIN(1,$D$17-1)*$D$15/100</f>
        <v/>
      </c>
      <c r="I9" s="46">
        <f>MIN(1,$D$17)*$D$16/100</f>
        <v/>
      </c>
    </row>
    <row r="10" ht="17" customHeight="1">
      <c r="B10" s="21" t="inlineStr">
        <is>
          <t>1. DATOS DE ENTRADA</t>
        </is>
      </c>
      <c r="H10" s="46">
        <f>MIN(1,$D$17-1)*$D$15/100</f>
        <v/>
      </c>
      <c r="I10" s="46">
        <f>MIN(1+1,$D$17)*$D$16/100</f>
        <v/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H11" s="46">
        <f>MIN(2,$D$17-1)*$D$15/100</f>
        <v/>
      </c>
      <c r="I11" s="46">
        <f>MIN(2,$D$17)*$D$16/100</f>
        <v/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  <c r="H12" s="46">
        <f>MIN(2,$D$17-1)*$D$15/100</f>
        <v/>
      </c>
      <c r="I12" s="46">
        <f>MIN(2+1,$D$17)*$D$16/100</f>
        <v/>
      </c>
    </row>
    <row r="13" ht="13.5" customHeight="1">
      <c r="B13" s="9" t="inlineStr">
        <is>
          <t>Peso unitario del concreto</t>
        </is>
      </c>
      <c r="C13" s="22" t="inlineStr">
        <is>
          <t>γc</t>
        </is>
      </c>
      <c r="D13" s="25" t="n">
        <v>2.4</v>
      </c>
      <c r="E13" s="24" t="inlineStr">
        <is>
          <t>t/m³</t>
        </is>
      </c>
      <c r="H13" s="46">
        <f>MIN(3,$D$17-1)*$D$15/100</f>
        <v/>
      </c>
      <c r="I13" s="46">
        <f>MIN(3,$D$17)*$D$16/100</f>
        <v/>
      </c>
    </row>
    <row r="14">
      <c r="B14" s="4" t="inlineStr">
        <is>
          <t>Geometría</t>
        </is>
      </c>
      <c r="H14" s="46">
        <f>MIN(3,$D$17-1)*$D$15/100</f>
        <v/>
      </c>
      <c r="I14" s="46">
        <f>MIN(3+1,$D$17)*$D$16/100</f>
        <v/>
      </c>
    </row>
    <row r="15" ht="13.5" customHeight="1">
      <c r="B15" s="9" t="inlineStr">
        <is>
          <t>Paso</t>
        </is>
      </c>
      <c r="C15" s="22" t="inlineStr">
        <is>
          <t>P</t>
        </is>
      </c>
      <c r="D15" s="35" t="n">
        <v>25</v>
      </c>
      <c r="E15" s="24" t="inlineStr">
        <is>
          <t>cm</t>
        </is>
      </c>
      <c r="F15" s="27" t="inlineStr">
        <is>
          <t>A.010: P ≥ 25 cm</t>
        </is>
      </c>
      <c r="H15" s="46">
        <f>MIN(4,$D$17-1)*$D$15/100</f>
        <v/>
      </c>
      <c r="I15" s="46">
        <f>MIN(4,$D$17)*$D$16/100</f>
        <v/>
      </c>
    </row>
    <row r="16" ht="13.5" customHeight="1">
      <c r="B16" s="9" t="inlineStr">
        <is>
          <t>Contrapaso</t>
        </is>
      </c>
      <c r="C16" s="22" t="inlineStr">
        <is>
          <t>CP</t>
        </is>
      </c>
      <c r="D16" s="35" t="n">
        <v>17.5</v>
      </c>
      <c r="E16" s="24" t="inlineStr">
        <is>
          <t>cm</t>
        </is>
      </c>
      <c r="F16" s="27" t="inlineStr">
        <is>
          <t>A.010: CP ≤ 18 cm</t>
        </is>
      </c>
      <c r="H16" s="46">
        <f>MIN(4,$D$17-1)*$D$15/100</f>
        <v/>
      </c>
      <c r="I16" s="46">
        <f>MIN(4+1,$D$17)*$D$16/100</f>
        <v/>
      </c>
    </row>
    <row r="17" ht="13.5" customHeight="1">
      <c r="B17" s="9" t="inlineStr">
        <is>
          <t>Número de contrapasos del tramo</t>
        </is>
      </c>
      <c r="C17" s="22" t="inlineStr">
        <is>
          <t>n</t>
        </is>
      </c>
      <c r="D17" s="23" t="n">
        <v>8</v>
      </c>
      <c r="E17" s="24" t="inlineStr"/>
      <c r="H17" s="46">
        <f>MIN(5,$D$17-1)*$D$15/100</f>
        <v/>
      </c>
      <c r="I17" s="46">
        <f>MIN(5,$D$17)*$D$16/100</f>
        <v/>
      </c>
    </row>
    <row r="18" ht="13.5" customHeight="1">
      <c r="B18" s="9" t="inlineStr">
        <is>
          <t>Longitud del descanso</t>
        </is>
      </c>
      <c r="C18" s="22" t="inlineStr">
        <is>
          <t>Ld</t>
        </is>
      </c>
      <c r="D18" s="25" t="n">
        <v>1.2</v>
      </c>
      <c r="E18" s="24" t="inlineStr">
        <is>
          <t>m</t>
        </is>
      </c>
      <c r="H18" s="46">
        <f>MIN(5,$D$17-1)*$D$15/100</f>
        <v/>
      </c>
      <c r="I18" s="46">
        <f>MIN(5+1,$D$17)*$D$16/100</f>
        <v/>
      </c>
    </row>
    <row r="19" ht="13.5" customHeight="1">
      <c r="B19" s="9" t="inlineStr">
        <is>
          <t>Ancho de los apoyos (vigas o muros)</t>
        </is>
      </c>
      <c r="C19" s="22" t="inlineStr">
        <is>
          <t>a</t>
        </is>
      </c>
      <c r="D19" s="25" t="n">
        <v>0.25</v>
      </c>
      <c r="E19" s="24" t="inlineStr">
        <is>
          <t>m</t>
        </is>
      </c>
      <c r="F19" s="27" t="inlineStr">
        <is>
          <t>La luz de cálculo va de eje a eje de apoyos</t>
        </is>
      </c>
      <c r="H19" s="46">
        <f>MIN(6,$D$17-1)*$D$15/100</f>
        <v/>
      </c>
      <c r="I19" s="46">
        <f>MIN(6,$D$17)*$D$16/100</f>
        <v/>
      </c>
    </row>
    <row r="20" ht="13.5" customHeight="1">
      <c r="B20" s="9" t="inlineStr">
        <is>
          <t>Ancho de la escalera</t>
        </is>
      </c>
      <c r="C20" s="22" t="inlineStr">
        <is>
          <t>B</t>
        </is>
      </c>
      <c r="D20" s="25" t="n">
        <v>1.2</v>
      </c>
      <c r="E20" s="24" t="inlineStr">
        <is>
          <t>m</t>
        </is>
      </c>
      <c r="F20" s="27" t="inlineStr">
        <is>
          <t>Vivienda ≥ 0.90 m (A.010)</t>
        </is>
      </c>
      <c r="H20" s="46">
        <f>MIN(6,$D$17-1)*$D$15/100</f>
        <v/>
      </c>
      <c r="I20" s="46">
        <f>MIN(6+1,$D$17)*$D$16/100</f>
        <v/>
      </c>
    </row>
    <row r="21" ht="13.5" customHeight="1">
      <c r="B21" s="9" t="inlineStr">
        <is>
          <t>Espesor de la garganta</t>
        </is>
      </c>
      <c r="C21" s="22" t="inlineStr">
        <is>
          <t>t</t>
        </is>
      </c>
      <c r="D21" s="35" t="n">
        <v>15</v>
      </c>
      <c r="E21" s="24" t="inlineStr">
        <is>
          <t>cm</t>
        </is>
      </c>
      <c r="F21" s="27" t="inlineStr">
        <is>
          <t>Predimensionamiento: ln/25 a ln/20</t>
        </is>
      </c>
      <c r="H21" s="46">
        <f>MIN(7,$D$17-1)*$D$15/100</f>
        <v/>
      </c>
      <c r="I21" s="46">
        <f>MIN(7,$D$17)*$D$16/100</f>
        <v/>
      </c>
    </row>
    <row r="22" ht="13.5" customHeight="1">
      <c r="B22" s="9" t="inlineStr">
        <is>
          <t>Espesor del descanso</t>
        </is>
      </c>
      <c r="C22" s="22" t="inlineStr">
        <is>
          <t>td</t>
        </is>
      </c>
      <c r="D22" s="35" t="n">
        <v>15</v>
      </c>
      <c r="E22" s="24" t="inlineStr">
        <is>
          <t>cm</t>
        </is>
      </c>
      <c r="H22" s="46">
        <f>MIN(7,$D$17-1)*$D$15/100</f>
        <v/>
      </c>
      <c r="I22" s="46">
        <f>MIN(7+1,$D$17)*$D$16/100</f>
        <v/>
      </c>
    </row>
    <row r="23" ht="13.5" customHeight="1">
      <c r="B23" s="9" t="inlineStr">
        <is>
          <t>Recubrimiento libre</t>
        </is>
      </c>
      <c r="C23" s="22" t="inlineStr">
        <is>
          <t>r</t>
        </is>
      </c>
      <c r="D23" s="35" t="n">
        <v>2</v>
      </c>
      <c r="E23" s="24" t="inlineStr">
        <is>
          <t>cm</t>
        </is>
      </c>
      <c r="F23" s="27" t="inlineStr">
        <is>
          <t>E.060 7.7.1: losas no expuestas 2 cm</t>
        </is>
      </c>
      <c r="H23" s="46">
        <f>MIN(8,$D$17-1)*$D$15/100</f>
        <v/>
      </c>
      <c r="I23" s="46">
        <f>MIN(8,$D$17)*$D$16/100</f>
        <v/>
      </c>
    </row>
    <row r="24">
      <c r="B24" s="4" t="inlineStr">
        <is>
          <t>Cargas</t>
        </is>
      </c>
      <c r="H24" s="46">
        <f>MIN(8,$D$17-1)*$D$15/100</f>
        <v/>
      </c>
      <c r="I24" s="46">
        <f>MIN(8+1,$D$17)*$D$16/100</f>
        <v/>
      </c>
    </row>
    <row r="25" ht="13.5" customHeight="1">
      <c r="B25" s="9" t="inlineStr">
        <is>
          <t>Acabados</t>
        </is>
      </c>
      <c r="C25" s="22" t="inlineStr">
        <is>
          <t>pt</t>
        </is>
      </c>
      <c r="D25" s="25" t="n">
        <v>0.1</v>
      </c>
      <c r="E25" s="24" t="inlineStr">
        <is>
          <t>t/m²</t>
        </is>
      </c>
      <c r="H25" s="46">
        <f>MIN(9,$D$17-1)*$D$15/100</f>
        <v/>
      </c>
      <c r="I25" s="46">
        <f>MIN(9,$D$17)*$D$16/100</f>
        <v/>
      </c>
    </row>
    <row r="26" ht="24" customHeight="1">
      <c r="B26" s="9" t="inlineStr">
        <is>
          <t>Sobrecarga</t>
        </is>
      </c>
      <c r="C26" s="22" t="inlineStr">
        <is>
          <t>s/c</t>
        </is>
      </c>
      <c r="D26" s="25" t="n">
        <v>0.2</v>
      </c>
      <c r="E26" s="24" t="inlineStr">
        <is>
          <t>t/m²</t>
        </is>
      </c>
      <c r="F26" s="27" t="inlineStr">
        <is>
          <t>E.020: vivienda 0.20; oficinas, colegios, hospitales 0.40 t/m²</t>
        </is>
      </c>
      <c r="H26" s="46">
        <f>MIN(9,$D$17-1)*$D$15/100</f>
        <v/>
      </c>
      <c r="I26" s="46">
        <f>MIN(9+1,$D$17)*$D$16/100</f>
        <v/>
      </c>
    </row>
    <row r="27" ht="13.5" customHeight="1">
      <c r="B27" s="9" t="inlineStr">
        <is>
          <t>Varilla longitudinal</t>
        </is>
      </c>
      <c r="C27" s="22" t="inlineStr">
        <is>
          <t>Ø</t>
        </is>
      </c>
      <c r="D27" s="31" t="inlineStr">
        <is>
          <t>1/2"</t>
        </is>
      </c>
      <c r="E27" s="24" t="inlineStr"/>
      <c r="H27" s="46">
        <f>MIN(10,$D$17-1)*$D$15/100</f>
        <v/>
      </c>
      <c r="I27" s="46">
        <f>MIN(10,$D$17)*$D$16/100</f>
        <v/>
      </c>
    </row>
    <row r="28" ht="13.5" customHeight="1">
      <c r="B28" s="9" t="inlineStr">
        <is>
          <t>Varilla transversal</t>
        </is>
      </c>
      <c r="C28" s="22" t="inlineStr">
        <is>
          <t>Øt</t>
        </is>
      </c>
      <c r="D28" s="31" t="inlineStr">
        <is>
          <t>3/8"</t>
        </is>
      </c>
      <c r="E28" s="24" t="inlineStr"/>
      <c r="H28" s="46">
        <f>MIN(10,$D$17-1)*$D$15/100</f>
        <v/>
      </c>
      <c r="I28" s="46">
        <f>MIN(10+1,$D$17)*$D$16/100</f>
        <v/>
      </c>
    </row>
    <row r="29" ht="24" customHeight="1">
      <c r="B29" s="9" t="inlineStr">
        <is>
          <t>Fracción del momento máximo para el acero negativo</t>
        </is>
      </c>
      <c r="C29" s="22" t="inlineStr">
        <is>
          <t>k−</t>
        </is>
      </c>
      <c r="D29" s="25" t="n">
        <v>0.5</v>
      </c>
      <c r="E29" s="24" t="inlineStr"/>
      <c r="F29" s="27" t="inlineStr">
        <is>
          <t>Apoyos poco rígidos: 1/3 a 1/2 de M+ (criterio usual)</t>
        </is>
      </c>
      <c r="H29" s="46">
        <f>MIN(11,$D$17-1)*$D$15/100</f>
        <v/>
      </c>
      <c r="I29" s="46">
        <f>MIN(11,$D$17)*$D$16/100</f>
        <v/>
      </c>
    </row>
    <row r="30">
      <c r="H30" s="46">
        <f>MIN(11,$D$17-1)*$D$15/100</f>
        <v/>
      </c>
      <c r="I30" s="46">
        <f>MIN(11+1,$D$17)*$D$16/100</f>
        <v/>
      </c>
    </row>
    <row r="31" ht="17" customHeight="1">
      <c r="B31" s="21" t="inlineStr">
        <is>
          <t>2. GEOMETRÍA Y PREDIMENSIONAMIENTO (RNE A.010)</t>
        </is>
      </c>
      <c r="H31" s="46">
        <f>MIN(12,$D$17-1)*$D$15/100</f>
        <v/>
      </c>
      <c r="I31" s="46">
        <f>MIN(12,$D$17)*$D$16/100</f>
        <v/>
      </c>
    </row>
    <row r="32" ht="13.5" customHeight="1">
      <c r="B32" s="9" t="inlineStr">
        <is>
          <t>2·CP + P</t>
        </is>
      </c>
      <c r="C32" s="22" t="inlineStr"/>
      <c r="D32" s="26">
        <f>2*$D$16+$D$15</f>
        <v/>
      </c>
      <c r="E32" s="24" t="inlineStr">
        <is>
          <t>cm</t>
        </is>
      </c>
      <c r="F32" s="27" t="inlineStr">
        <is>
          <t>Debe estar entre 60 y 64 cm</t>
        </is>
      </c>
      <c r="H32" s="46">
        <f>MIN(12,$D$17-1)*$D$15/100</f>
        <v/>
      </c>
      <c r="I32" s="46">
        <f>MIN(12+1,$D$17)*$D$16/100</f>
        <v/>
      </c>
    </row>
    <row r="33" ht="13.5" customHeight="1">
      <c r="B33" s="9" t="inlineStr">
        <is>
          <t>60 ≤ 2CP + P ≤ 64 cm</t>
        </is>
      </c>
      <c r="C33" s="29">
        <f>IF(AND($D$32&gt;=60,$D$32&lt;=64),"CUMPLE","NO CUMPLE")</f>
        <v/>
      </c>
      <c r="D33" s="30" t="n"/>
      <c r="E33" s="30" t="n"/>
      <c r="F33" s="27" t="inlineStr">
        <is>
          <t>Ajuste paso o contrapaso</t>
        </is>
      </c>
      <c r="H33" s="46">
        <f>MIN(13,$D$17-1)*$D$15/100</f>
        <v/>
      </c>
      <c r="I33" s="46">
        <f>MIN(13,$D$17)*$D$16/100</f>
        <v/>
      </c>
    </row>
    <row r="34" ht="13.5" customHeight="1">
      <c r="B34" s="9" t="inlineStr">
        <is>
          <t>P ≥ 25 cm y CP ≤ 18 cm</t>
        </is>
      </c>
      <c r="C34" s="29">
        <f>IF(AND($D$15&gt;=25,$D$16&lt;=18),"CUMPLE","NO CUMPLE")</f>
        <v/>
      </c>
      <c r="D34" s="30" t="n"/>
      <c r="E34" s="30" t="n"/>
      <c r="H34" s="46">
        <f>MIN(13,$D$17-1)*$D$15/100</f>
        <v/>
      </c>
      <c r="I34" s="46">
        <f>MIN(13+1,$D$17)*$D$16/100</f>
        <v/>
      </c>
    </row>
    <row r="35" ht="24" customHeight="1">
      <c r="B35" s="9" t="inlineStr">
        <is>
          <t>Proyección horizontal del tramo inclinado (n − 1)·P</t>
        </is>
      </c>
      <c r="C35" s="22" t="inlineStr">
        <is>
          <t>L1</t>
        </is>
      </c>
      <c r="D35" s="34">
        <f>($D$17-1)*$D$15/100</f>
        <v/>
      </c>
      <c r="E35" s="24" t="inlineStr">
        <is>
          <t>m</t>
        </is>
      </c>
      <c r="H35" s="46">
        <f>MIN(14,$D$17-1)*$D$15/100</f>
        <v/>
      </c>
      <c r="I35" s="46">
        <f>MIN(14,$D$17)*$D$16/100</f>
        <v/>
      </c>
    </row>
    <row r="36" ht="13.5" customHeight="1">
      <c r="B36" s="9" t="inlineStr">
        <is>
          <t>Altura que sube el tramo n·CP</t>
        </is>
      </c>
      <c r="C36" s="22" t="inlineStr">
        <is>
          <t>h</t>
        </is>
      </c>
      <c r="D36" s="34">
        <f>$D$17*$D$16/100</f>
        <v/>
      </c>
      <c r="E36" s="24" t="inlineStr">
        <is>
          <t>m</t>
        </is>
      </c>
      <c r="H36" s="46">
        <f>MIN(14,$D$17-1)*$D$15/100</f>
        <v/>
      </c>
      <c r="I36" s="46">
        <f>MIN(14+1,$D$17)*$D$16/100</f>
        <v/>
      </c>
    </row>
    <row r="37" ht="13.5" customHeight="1">
      <c r="B37" s="9" t="inlineStr">
        <is>
          <t>cos θ = P/√(P² + CP²)</t>
        </is>
      </c>
      <c r="C37" s="22" t="inlineStr">
        <is>
          <t>cos θ</t>
        </is>
      </c>
      <c r="D37" s="49">
        <f>$D$15/SQRT($D$15^2+$D$16^2)</f>
        <v/>
      </c>
      <c r="E37" s="24" t="inlineStr"/>
      <c r="H37" s="46">
        <f>MIN(15,$D$17-1)*$D$15/100</f>
        <v/>
      </c>
      <c r="I37" s="46">
        <f>MIN(15,$D$17)*$D$16/100</f>
        <v/>
      </c>
    </row>
    <row r="38" ht="13.5" customHeight="1">
      <c r="B38" s="9" t="inlineStr">
        <is>
          <t>Tramo inclinado de cálculo L1 + a/2</t>
        </is>
      </c>
      <c r="C38" s="22" t="inlineStr">
        <is>
          <t>L1'</t>
        </is>
      </c>
      <c r="D38" s="34">
        <f>$D$35+$D$19/2</f>
        <v/>
      </c>
      <c r="E38" s="24" t="inlineStr">
        <is>
          <t>m</t>
        </is>
      </c>
      <c r="H38" s="46">
        <f>MIN(15,$D$17-1)*$D$15/100</f>
        <v/>
      </c>
      <c r="I38" s="46">
        <f>MIN(15+1,$D$17)*$D$16/100</f>
        <v/>
      </c>
    </row>
    <row r="39" ht="13.5" customHeight="1">
      <c r="B39" s="9" t="inlineStr">
        <is>
          <t>Descanso de cálculo Ld + a/2</t>
        </is>
      </c>
      <c r="C39" s="22" t="inlineStr">
        <is>
          <t>L2'</t>
        </is>
      </c>
      <c r="D39" s="34">
        <f>$D$18+$D$19/2</f>
        <v/>
      </c>
      <c r="E39" s="24" t="inlineStr">
        <is>
          <t>m</t>
        </is>
      </c>
      <c r="H39" s="46">
        <f>MIN(16,$D$17-1)*$D$15/100</f>
        <v/>
      </c>
      <c r="I39" s="46">
        <f>MIN(16,$D$17)*$D$16/100</f>
        <v/>
      </c>
    </row>
    <row r="40" ht="13.5" customHeight="1">
      <c r="B40" s="9" t="inlineStr">
        <is>
          <t>Luz de cálculo (eje a eje)</t>
        </is>
      </c>
      <c r="C40" s="22" t="inlineStr">
        <is>
          <t>L</t>
        </is>
      </c>
      <c r="D40" s="34">
        <f>$D$38+$D$39</f>
        <v/>
      </c>
      <c r="E40" s="24" t="inlineStr">
        <is>
          <t>m</t>
        </is>
      </c>
      <c r="H40" s="46">
        <f>MIN(16,$D$17-1)*$D$15/100</f>
        <v/>
      </c>
      <c r="I40" s="46">
        <f>MIN(16+1,$D$17)*$D$16/100</f>
        <v/>
      </c>
    </row>
    <row r="41" ht="13.5" customHeight="1">
      <c r="B41" s="9" t="inlineStr">
        <is>
          <t>t mínimo = ln/25</t>
        </is>
      </c>
      <c r="C41" s="22" t="inlineStr"/>
      <c r="D41" s="26">
        <f>($D$35+$D$18)/25*100</f>
        <v/>
      </c>
      <c r="E41" s="24" t="inlineStr">
        <is>
          <t>cm</t>
        </is>
      </c>
      <c r="F41" s="27" t="inlineStr">
        <is>
          <t>ln = luz libre L1 + Ld</t>
        </is>
      </c>
      <c r="H41" s="46">
        <f>MIN(17,$D$17-1)*$D$15/100</f>
        <v/>
      </c>
      <c r="I41" s="46">
        <f>MIN(17,$D$17)*$D$16/100</f>
        <v/>
      </c>
    </row>
    <row r="42" ht="13.5" customHeight="1">
      <c r="B42" s="9" t="inlineStr">
        <is>
          <t>t máximo = ln/20</t>
        </is>
      </c>
      <c r="C42" s="22" t="inlineStr"/>
      <c r="D42" s="26">
        <f>($D$35+$D$18)/20*100</f>
        <v/>
      </c>
      <c r="E42" s="24" t="inlineStr">
        <is>
          <t>cm</t>
        </is>
      </c>
      <c r="H42" s="46">
        <f>MIN(17,$D$17-1)*$D$15/100</f>
        <v/>
      </c>
      <c r="I42" s="46">
        <f>MIN(17+1,$D$17)*$D$16/100</f>
        <v/>
      </c>
    </row>
    <row r="43" ht="13.5" customHeight="1">
      <c r="B43" s="9" t="inlineStr">
        <is>
          <t>ln/25 ≤ t (predimensionamiento)</t>
        </is>
      </c>
      <c r="C43" s="29">
        <f>IF($D$21&gt;=$D$41-0.01,"CUMPLE","REVISAR")</f>
        <v/>
      </c>
      <c r="D43" s="30" t="n"/>
      <c r="E43" s="30" t="n"/>
      <c r="F43" s="27" t="inlineStr">
        <is>
          <t>Si no cumple: aumente t</t>
        </is>
      </c>
      <c r="H43" s="46">
        <f>MIN(18,$D$17-1)*$D$15/100</f>
        <v/>
      </c>
      <c r="I43" s="46">
        <f>MIN(18,$D$17)*$D$16/100</f>
        <v/>
      </c>
    </row>
    <row r="44">
      <c r="H44" s="46">
        <f>MIN(18,$D$17-1)*$D$15/100</f>
        <v/>
      </c>
      <c r="I44" s="46">
        <f>MIN(18+1,$D$17)*$D$16/100</f>
        <v/>
      </c>
    </row>
    <row r="45" ht="17" customHeight="1">
      <c r="B45" s="21" t="inlineStr">
        <is>
          <t>3. METRADO DE CARGAS (por m² en proyección horizontal)</t>
        </is>
      </c>
      <c r="H45" s="46">
        <f>MIN(19,$D$17-1)*$D$15/100</f>
        <v/>
      </c>
      <c r="I45" s="46">
        <f>MIN(19,$D$17)*$D$16/100</f>
        <v/>
      </c>
    </row>
    <row r="46" ht="24" customHeight="1">
      <c r="B46" s="9" t="inlineStr">
        <is>
          <t>Peso propio del tramo inclinado γc·(CP/2 + t/cos θ)</t>
        </is>
      </c>
      <c r="C46" s="22" t="inlineStr">
        <is>
          <t>wpp1</t>
        </is>
      </c>
      <c r="D46" s="39">
        <f>$D$13*($D$16/200+$D$21/100/$D$37)</f>
        <v/>
      </c>
      <c r="E46" s="24" t="inlineStr">
        <is>
          <t>t/m²</t>
        </is>
      </c>
      <c r="F46" s="27" t="inlineStr">
        <is>
          <t>w = γ·(CP/2 + t·√(1 + (CP/P)²))</t>
        </is>
      </c>
      <c r="H46" s="46">
        <f>MIN(19,$D$17-1)*$D$15/100</f>
        <v/>
      </c>
      <c r="I46" s="46">
        <f>MIN(19+1,$D$17)*$D$16/100</f>
        <v/>
      </c>
    </row>
    <row r="47" ht="13.5" customHeight="1">
      <c r="B47" s="9" t="inlineStr">
        <is>
          <t>Peso propio del descanso γc·td</t>
        </is>
      </c>
      <c r="C47" s="22" t="inlineStr">
        <is>
          <t>wpp2</t>
        </is>
      </c>
      <c r="D47" s="39">
        <f>$D$13*$D$22/100</f>
        <v/>
      </c>
      <c r="E47" s="24" t="inlineStr">
        <is>
          <t>t/m²</t>
        </is>
      </c>
      <c r="H47" s="46">
        <f>MIN(20,$D$17-1)*$D$15/100</f>
        <v/>
      </c>
      <c r="I47" s="46">
        <f>MIN(20,$D$17)*$D$16/100</f>
        <v/>
      </c>
    </row>
    <row r="48" ht="13.5" customHeight="1">
      <c r="B48" s="9" t="inlineStr">
        <is>
          <t>wu1 = [1.4·(wpp1 + pt) + 1.7·s/c]·B</t>
        </is>
      </c>
      <c r="C48" s="22" t="inlineStr">
        <is>
          <t>wu1</t>
        </is>
      </c>
      <c r="D48" s="39">
        <f>(1.4*($D$46+$D$25)+1.7*$D$26)*$D$20</f>
        <v/>
      </c>
      <c r="E48" s="24" t="inlineStr">
        <is>
          <t>t/m</t>
        </is>
      </c>
      <c r="F48" s="27" t="inlineStr">
        <is>
          <t>E.060 9.2.1</t>
        </is>
      </c>
      <c r="H48" s="46">
        <f>MIN(20,$D$17-1)*$D$15/100</f>
        <v/>
      </c>
      <c r="I48" s="46">
        <f>MIN(20+1,$D$17)*$D$16/100</f>
        <v/>
      </c>
    </row>
    <row r="49" ht="13.5" customHeight="1">
      <c r="B49" s="9" t="inlineStr">
        <is>
          <t>wu2 = [1.4·(wpp2 + pt) + 1.7·s/c]·B</t>
        </is>
      </c>
      <c r="C49" s="22" t="inlineStr">
        <is>
          <t>wu2</t>
        </is>
      </c>
      <c r="D49" s="39">
        <f>(1.4*($D$47+$D$25)+1.7*$D$26)*$D$20</f>
        <v/>
      </c>
      <c r="E49" s="24" t="inlineStr">
        <is>
          <t>t/m</t>
        </is>
      </c>
      <c r="H49" s="46">
        <f>MIN(21,$D$17-1)*$D$15/100</f>
        <v/>
      </c>
      <c r="I49" s="46">
        <f>MIN(21,$D$17)*$D$16/100</f>
        <v/>
      </c>
    </row>
    <row r="50">
      <c r="H50" s="46">
        <f>MIN(21,$D$17-1)*$D$15/100</f>
        <v/>
      </c>
      <c r="I50" s="46">
        <f>MIN(21+1,$D$17)*$D$16/100</f>
        <v/>
      </c>
    </row>
    <row r="51" ht="17" customHeight="1">
      <c r="B51" s="21" t="inlineStr">
        <is>
          <t>4. ANÁLISIS (viga simplemente apoyada en proyección horizontal)</t>
        </is>
      </c>
      <c r="H51" s="46">
        <f>MIN(22,$D$17-1)*$D$15/100</f>
        <v/>
      </c>
      <c r="I51" s="46">
        <f>MIN(22,$D$17)*$D$16/100</f>
        <v/>
      </c>
    </row>
    <row r="52" ht="13.5" customHeight="1">
      <c r="B52" s="9" t="inlineStr">
        <is>
          <t>Reacción en el apoyo del tramo inclinado</t>
        </is>
      </c>
      <c r="C52" s="22" t="inlineStr">
        <is>
          <t>RA</t>
        </is>
      </c>
      <c r="D52" s="39">
        <f>($D$48*$D$38*($D$40-$D$38/2)+$D$49*$D$39^2/2)/$D$40</f>
        <v/>
      </c>
      <c r="E52" s="24" t="inlineStr">
        <is>
          <t>t</t>
        </is>
      </c>
      <c r="H52" s="46">
        <f>MIN(22,$D$17-1)*$D$15/100</f>
        <v/>
      </c>
      <c r="I52" s="46">
        <f>MIN(22+1,$D$17)*$D$16/100</f>
        <v/>
      </c>
    </row>
    <row r="53" ht="13.5" customHeight="1">
      <c r="B53" s="9" t="inlineStr">
        <is>
          <t>Reacción en el apoyo del descanso</t>
        </is>
      </c>
      <c r="C53" s="22" t="inlineStr">
        <is>
          <t>RB</t>
        </is>
      </c>
      <c r="D53" s="39">
        <f>$D$48*$D$38+$D$49*$D$39-$D$52</f>
        <v/>
      </c>
      <c r="E53" s="24" t="inlineStr">
        <is>
          <t>t</t>
        </is>
      </c>
      <c r="H53" s="46">
        <f>MIN(23,$D$17-1)*$D$15/100</f>
        <v/>
      </c>
      <c r="I53" s="46">
        <f>MIN(23,$D$17)*$D$16/100</f>
        <v/>
      </c>
    </row>
    <row r="54" ht="13.5" customHeight="1">
      <c r="B54" s="9" t="inlineStr">
        <is>
          <t>Posición del cortante nulo desde A</t>
        </is>
      </c>
      <c r="C54" s="22" t="inlineStr">
        <is>
          <t>x0</t>
        </is>
      </c>
      <c r="D54" s="39">
        <f>IF($D$52&lt;=$D$48*$D$38,$D$52/$D$48,$D$38+($D$52-$D$48*$D$38)/$D$49)</f>
        <v/>
      </c>
      <c r="E54" s="24" t="inlineStr">
        <is>
          <t>m</t>
        </is>
      </c>
      <c r="H54" s="46">
        <f>MIN(23,$D$17-1)*$D$15/100</f>
        <v/>
      </c>
      <c r="I54" s="46">
        <f>MIN(23+1,$D$17)*$D$16/100</f>
        <v/>
      </c>
    </row>
    <row r="55" ht="13.5" customHeight="1">
      <c r="B55" s="9" t="inlineStr">
        <is>
          <t>Momento máximo</t>
        </is>
      </c>
      <c r="C55" s="22" t="inlineStr">
        <is>
          <t>Mmáx</t>
        </is>
      </c>
      <c r="D55" s="39">
        <f>IF($D$54&lt;=$D$38,$D$52^2/(2*$D$48),$D$52*$D$54-$D$48*$D$38*($D$54-$D$38/2)-$D$49*($D$54-$D$38)^2/2)</f>
        <v/>
      </c>
      <c r="E55" s="24" t="inlineStr">
        <is>
          <t>t·m</t>
        </is>
      </c>
      <c r="H55" s="46">
        <f>MIN(24,$D$17-1)*$D$15/100</f>
        <v/>
      </c>
      <c r="I55" s="46">
        <f>MIN(24,$D$17)*$D$16/100</f>
        <v/>
      </c>
    </row>
    <row r="56">
      <c r="H56" s="46">
        <f>MIN(24,$D$17-1)*$D$15/100</f>
        <v/>
      </c>
      <c r="I56" s="46">
        <f>MIN(24+1,$D$17)*$D$16/100</f>
        <v/>
      </c>
    </row>
    <row r="57" ht="17" customHeight="1">
      <c r="B57" s="21" t="inlineStr">
        <is>
          <t>5. DISEÑO POR FLEXIÓN (φ = 0.90)</t>
        </is>
      </c>
      <c r="H57" s="46">
        <f>$D$35+$D$18+$D$19/2</f>
        <v/>
      </c>
      <c r="I57" s="46">
        <f>$D$36</f>
        <v/>
      </c>
    </row>
    <row r="58" ht="13.5" customHeight="1">
      <c r="B58" s="9" t="inlineStr">
        <is>
          <t>Factor β1</t>
        </is>
      </c>
      <c r="C58" s="22" t="inlineStr">
        <is>
          <t>β1</t>
        </is>
      </c>
      <c r="D58" s="39">
        <f>IF($D$11&lt;=280,0.85,MAX(0.65,0.85-0.05*($D$11-280)/70))</f>
        <v/>
      </c>
      <c r="E58" s="24" t="inlineStr"/>
      <c r="F58" s="27" t="inlineStr">
        <is>
          <t>E.060 10.2.7.3</t>
        </is>
      </c>
      <c r="H58" s="46" t="n"/>
      <c r="I58" s="46" t="n"/>
    </row>
    <row r="59" ht="13.5" customHeight="1">
      <c r="B59" s="9" t="inlineStr">
        <is>
          <t>Cuantía balanceada</t>
        </is>
      </c>
      <c r="C59" s="22" t="inlineStr">
        <is>
          <t>ρb</t>
        </is>
      </c>
      <c r="D59" s="40">
        <f>0.85*$D$58*$D$11/$D$12*6000/(6000+$D$12)</f>
        <v/>
      </c>
      <c r="E59" s="24" t="inlineStr"/>
      <c r="F59" s="27" t="inlineStr">
        <is>
          <t>Límite: ρ ≤ 0.75·ρb (E.060 10.3.4)</t>
        </is>
      </c>
      <c r="H59" s="46">
        <f>-$D$19/2</f>
        <v/>
      </c>
      <c r="I59" s="46">
        <f>0</f>
        <v/>
      </c>
    </row>
    <row r="60" ht="13.5" customHeight="1">
      <c r="B60" s="9" t="inlineStr">
        <is>
          <t>Diámetro de la varilla</t>
        </is>
      </c>
      <c r="C60" s="22" t="inlineStr">
        <is>
          <t>db</t>
        </is>
      </c>
      <c r="D60" s="39">
        <f>INDEX(BAR_DB,MATCH($D$27,BAR_NOM,0))</f>
        <v/>
      </c>
      <c r="E60" s="24" t="inlineStr">
        <is>
          <t>cm</t>
        </is>
      </c>
      <c r="H60" s="46">
        <f>-$D$19/2</f>
        <v/>
      </c>
      <c r="I60" s="46">
        <f>-$D$19/2*$D$16/$D$15-$D$21/100/$D$37</f>
        <v/>
      </c>
    </row>
    <row r="61" ht="13.5" customHeight="1">
      <c r="B61" s="9" t="inlineStr">
        <is>
          <t>Área de la varilla</t>
        </is>
      </c>
      <c r="C61" s="22" t="inlineStr">
        <is>
          <t>Ab</t>
        </is>
      </c>
      <c r="D61" s="34">
        <f>INDEX(BAR_AS,MATCH($D$27,BAR_NOM,0))</f>
        <v/>
      </c>
      <c r="E61" s="24" t="inlineStr">
        <is>
          <t>cm²</t>
        </is>
      </c>
      <c r="H61" s="46">
        <f>MIN($D$35+$D$18,($D$36-$D$22/100+$D$21/100/$D$37)*$D$15/$D$16)</f>
        <v/>
      </c>
      <c r="I61" s="46">
        <f>$D$36-$D$22/100</f>
        <v/>
      </c>
    </row>
    <row r="62" ht="13.5" customHeight="1">
      <c r="B62" s="9" t="inlineStr">
        <is>
          <t>Peralte efectivo d = t − r − db/2</t>
        </is>
      </c>
      <c r="C62" s="22" t="inlineStr">
        <is>
          <t>d</t>
        </is>
      </c>
      <c r="D62" s="34">
        <f>$D$21-$D$23-$D$60/2</f>
        <v/>
      </c>
      <c r="E62" s="24" t="inlineStr">
        <is>
          <t>cm</t>
        </is>
      </c>
      <c r="H62" s="46">
        <f>$D$35+$D$18+$D$19/2</f>
        <v/>
      </c>
      <c r="I62" s="46">
        <f>$D$36-$D$22/100</f>
        <v/>
      </c>
    </row>
    <row r="63" ht="13.5" customHeight="1">
      <c r="B63" s="9" t="inlineStr">
        <is>
          <t>Ancho de diseño</t>
        </is>
      </c>
      <c r="C63" s="22" t="inlineStr">
        <is>
          <t>b</t>
        </is>
      </c>
      <c r="D63" s="26">
        <f>$D$20*100</f>
        <v/>
      </c>
      <c r="E63" s="24" t="inlineStr">
        <is>
          <t>cm</t>
        </is>
      </c>
      <c r="H63" s="46">
        <f>$D$35+$D$18+$D$19/2</f>
        <v/>
      </c>
      <c r="I63" s="46">
        <f>$D$36</f>
        <v/>
      </c>
    </row>
    <row r="64" ht="13.5" customHeight="1">
      <c r="B64" s="9" t="inlineStr">
        <is>
          <t>Control de la sección (debe ser ≥ 0)</t>
        </is>
      </c>
      <c r="C64" s="22" t="inlineStr"/>
      <c r="D64" s="39">
        <f>1-2*$D$55*100000/(0.9*0.85*$D$11*$D$63*$D$62^2)</f>
        <v/>
      </c>
      <c r="E64" s="24" t="inlineStr"/>
      <c r="H64" s="46" t="n"/>
      <c r="I64" s="46" t="n"/>
    </row>
    <row r="65" ht="13.5" customHeight="1">
      <c r="B65" s="9" t="inlineStr">
        <is>
          <t>Sección suficiente a flexión</t>
        </is>
      </c>
      <c r="C65" s="29">
        <f>IF($D$64&gt;=0,"CUMPLE","NO CUMPLE")</f>
        <v/>
      </c>
      <c r="D65" s="30" t="n"/>
      <c r="E65" s="30" t="n"/>
      <c r="F65" s="27" t="inlineStr">
        <is>
          <t>Si no cumple: aumente t</t>
        </is>
      </c>
      <c r="H65" s="46">
        <f>-$D$19/2-0.2</f>
        <v/>
      </c>
      <c r="I65" s="46">
        <f>-0.6</f>
        <v/>
      </c>
    </row>
    <row r="66" ht="13.5" customHeight="1">
      <c r="B66" s="9" t="inlineStr">
        <is>
          <t>Acero positivo requerido</t>
        </is>
      </c>
      <c r="C66" s="22" t="inlineStr">
        <is>
          <t>As+</t>
        </is>
      </c>
      <c r="D66" s="34">
        <f>0.85*$D$11*$D$63*$D$62/$D$12*(1-SQRT(MAX(0,1-2*$D$55*100000/(0.9*0.85*$D$11*$D$63*$D$62^2))))</f>
        <v/>
      </c>
      <c r="E66" s="24" t="inlineStr">
        <is>
          <t>cm²</t>
        </is>
      </c>
      <c r="H66" s="46">
        <f>-$D$19/2-0.2+MAX($D$40+0.6,$D$36+0.8)</f>
        <v/>
      </c>
      <c r="I66" s="46">
        <f>-0.6+MAX($D$40+0.6,$D$36+0.8)</f>
        <v/>
      </c>
    </row>
    <row r="67" ht="13.5" customHeight="1">
      <c r="B67" s="9" t="inlineStr">
        <is>
          <t>Acero mínimo 0.0018·b·t</t>
        </is>
      </c>
      <c r="C67" s="22" t="inlineStr">
        <is>
          <t>Asmín</t>
        </is>
      </c>
      <c r="D67" s="34">
        <f>0.0018*$D$63*$D$21</f>
        <v/>
      </c>
      <c r="E67" s="24" t="inlineStr">
        <is>
          <t>cm²</t>
        </is>
      </c>
      <c r="F67" s="27" t="inlineStr">
        <is>
          <t>E.060 10.5.4 / 9.7.2</t>
        </is>
      </c>
    </row>
    <row r="68" ht="13.5" customHeight="1">
      <c r="B68" s="9" t="inlineStr">
        <is>
          <t>Acero positivo de diseño</t>
        </is>
      </c>
      <c r="C68" s="22" t="inlineStr">
        <is>
          <t>As+</t>
        </is>
      </c>
      <c r="D68" s="34">
        <f>MAX($D$66,$D$67)</f>
        <v/>
      </c>
      <c r="E68" s="24" t="inlineStr">
        <is>
          <t>cm²</t>
        </is>
      </c>
    </row>
    <row r="69" ht="13.5" customHeight="1">
      <c r="B69" s="9" t="inlineStr">
        <is>
          <t>As ≤ 0.75·ρb·b·d (falla dúctil)</t>
        </is>
      </c>
      <c r="C69" s="29">
        <f>IF($D$66&lt;=0.75*$D$59*$D$63*$D$62,"CUMPLE","NO CUMPLE")</f>
        <v/>
      </c>
      <c r="D69" s="30" t="n"/>
      <c r="E69" s="30" t="n"/>
      <c r="F69" s="27" t="inlineStr">
        <is>
          <t>Si no cumple: aumente t</t>
        </is>
      </c>
    </row>
    <row r="70" ht="13.5" customHeight="1">
      <c r="B70" s="9" t="inlineStr">
        <is>
          <t>Espaciamiento</t>
        </is>
      </c>
      <c r="C70" s="22" t="inlineStr">
        <is>
          <t>s</t>
        </is>
      </c>
      <c r="D70" s="26">
        <f>MIN(FLOOR($D$61*$D$63/$D$68,2.5),3*$D$21,40)</f>
        <v/>
      </c>
      <c r="E70" s="24" t="inlineStr">
        <is>
          <t>cm</t>
        </is>
      </c>
      <c r="F70" s="27" t="inlineStr">
        <is>
          <t>s ≤ 3t y 40 cm</t>
        </is>
      </c>
    </row>
    <row r="71" ht="24" customHeight="1">
      <c r="B71" s="9" t="inlineStr">
        <is>
          <t>Espaciamiento libre ≥ máx(db, 2.5 cm) y s ≥ 10 cm</t>
        </is>
      </c>
      <c r="C71" s="29">
        <f>IF(AND($D$70-$D$60&gt;=MAX($D$60,2.5),$D$70&gt;=10),"CUMPLE","NO CUMPLE")</f>
        <v/>
      </c>
      <c r="D71" s="30" t="n"/>
      <c r="E71" s="30" t="n"/>
      <c r="F71" s="27" t="inlineStr">
        <is>
          <t>Si no cumple: use varilla mayor</t>
        </is>
      </c>
    </row>
    <row r="72" ht="13.5" customHeight="1">
      <c r="B72" s="9" t="inlineStr">
        <is>
          <t>ACERO LONGITUDINAL INFERIOR (+)</t>
        </is>
      </c>
      <c r="C72" s="22" t="inlineStr"/>
      <c r="D72" s="44">
        <f>"Ø "&amp;$D$27&amp;" @ "&amp;FIXED($D$70/100,IF(MOD(ROUND($D$70*10,0),50)=0,2,3))&amp;" m"</f>
        <v/>
      </c>
      <c r="E72" s="30" t="n"/>
      <c r="F72" s="30" t="n"/>
    </row>
    <row r="73" ht="13.5" customHeight="1">
      <c r="B73" s="9" t="inlineStr">
        <is>
          <t>Momento negativo k−·Mmáx</t>
        </is>
      </c>
      <c r="C73" s="22" t="inlineStr">
        <is>
          <t>Mu−</t>
        </is>
      </c>
      <c r="D73" s="39">
        <f>$D$29*$D$55</f>
        <v/>
      </c>
      <c r="E73" s="24" t="inlineStr">
        <is>
          <t>t·m</t>
        </is>
      </c>
    </row>
    <row r="74" ht="13.5" customHeight="1">
      <c r="B74" s="9" t="inlineStr">
        <is>
          <t>Acero negativo requerido</t>
        </is>
      </c>
      <c r="C74" s="22" t="inlineStr">
        <is>
          <t>As−</t>
        </is>
      </c>
      <c r="D74" s="34">
        <f>0.85*$D$11*$D$63*$D$62/$D$12*(1-SQRT(MAX(0,1-2*$D$73*100000/(0.9*0.85*$D$11*$D$63*$D$62^2))))</f>
        <v/>
      </c>
      <c r="E74" s="24" t="inlineStr">
        <is>
          <t>cm²</t>
        </is>
      </c>
    </row>
    <row r="75" ht="13.5" customHeight="1">
      <c r="B75" s="9" t="inlineStr">
        <is>
          <t>Acero negativo de diseño</t>
        </is>
      </c>
      <c r="C75" s="22" t="inlineStr">
        <is>
          <t>As−</t>
        </is>
      </c>
      <c r="D75" s="34">
        <f>MAX($D$74,$D$67)</f>
        <v/>
      </c>
      <c r="E75" s="24" t="inlineStr">
        <is>
          <t>cm²</t>
        </is>
      </c>
    </row>
    <row r="76" ht="13.5" customHeight="1">
      <c r="B76" s="9" t="inlineStr">
        <is>
          <t>Espaciamiento</t>
        </is>
      </c>
      <c r="C76" s="22" t="inlineStr">
        <is>
          <t>s</t>
        </is>
      </c>
      <c r="D76" s="26">
        <f>MIN(FLOOR($D$61*$D$63/$D$75,2.5),3*$D$21,40)</f>
        <v/>
      </c>
      <c r="E76" s="24" t="inlineStr">
        <is>
          <t>cm</t>
        </is>
      </c>
    </row>
    <row r="77" ht="13.5" customHeight="1">
      <c r="B77" s="9" t="inlineStr">
        <is>
          <t>ACERO LONGITUDINAL SUPERIOR (−) en apoyos</t>
        </is>
      </c>
      <c r="C77" s="22" t="inlineStr"/>
      <c r="D77" s="44">
        <f>"Ø "&amp;$D$27&amp;" @ "&amp;FIXED($D$76/100,IF(MOD(ROUND($D$76*10,0),50)=0,2,3))&amp;" m"</f>
        <v/>
      </c>
      <c r="E77" s="30" t="n"/>
      <c r="F77" s="27" t="inlineStr">
        <is>
          <t>Longitud ≈ ln/4 desde la cara del apoyo</t>
        </is>
      </c>
    </row>
    <row r="78" ht="13.5" customHeight="1">
      <c r="B78" s="9" t="inlineStr">
        <is>
          <t>Área de la varilla transversal</t>
        </is>
      </c>
      <c r="C78" s="22" t="inlineStr">
        <is>
          <t>Ab</t>
        </is>
      </c>
      <c r="D78" s="34">
        <f>INDEX(BAR_AS,MATCH($D$28,BAR_NOM,0))</f>
        <v/>
      </c>
      <c r="E78" s="24" t="inlineStr">
        <is>
          <t>cm²</t>
        </is>
      </c>
    </row>
    <row r="79" ht="13.5" customHeight="1">
      <c r="B79" s="9" t="inlineStr">
        <is>
          <t>Acero de temperatura 0.0018·100·t</t>
        </is>
      </c>
      <c r="C79" s="22" t="inlineStr">
        <is>
          <t>Ast</t>
        </is>
      </c>
      <c r="D79" s="34">
        <f>0.0018*100*$D$21</f>
        <v/>
      </c>
      <c r="E79" s="24" t="inlineStr">
        <is>
          <t>cm²/m</t>
        </is>
      </c>
    </row>
    <row r="80" ht="13.5" customHeight="1">
      <c r="B80" s="9" t="inlineStr">
        <is>
          <t>Espaciamiento</t>
        </is>
      </c>
      <c r="C80" s="22" t="inlineStr">
        <is>
          <t>s</t>
        </is>
      </c>
      <c r="D80" s="26">
        <f>MIN(FLOOR($D$78/$D$79*100,2.5),3*$D$21,40)</f>
        <v/>
      </c>
      <c r="E80" s="24" t="inlineStr">
        <is>
          <t>cm</t>
        </is>
      </c>
      <c r="F80" s="27" t="inlineStr">
        <is>
          <t>s ≤ 3t y 40 cm (E.060 9.7.3)</t>
        </is>
      </c>
    </row>
    <row r="81" ht="13.5" customHeight="1">
      <c r="B81" s="9" t="inlineStr">
        <is>
          <t>ACERO TRANSVERSAL (temperatura)</t>
        </is>
      </c>
      <c r="C81" s="22" t="inlineStr"/>
      <c r="D81" s="44">
        <f>"Ø "&amp;$D$28&amp;" @ "&amp;FIXED($D$80/100,IF(MOD(ROUND($D$80*10,0),50)=0,2,3))&amp;" m"</f>
        <v/>
      </c>
      <c r="E81" s="30" t="n"/>
      <c r="F81" s="30" t="n"/>
    </row>
    <row r="83" ht="17" customHeight="1">
      <c r="B83" s="21" t="inlineStr">
        <is>
          <t>6. VERIFICACIÓN POR CORTANTE (E.060 11.3)</t>
        </is>
      </c>
    </row>
    <row r="84" ht="13.5" customHeight="1">
      <c r="B84" s="9" t="inlineStr">
        <is>
          <t>Vu a «d» del apoyo A (perpendicular a la losa)</t>
        </is>
      </c>
      <c r="C84" s="22" t="inlineStr">
        <is>
          <t>VuA</t>
        </is>
      </c>
      <c r="D84" s="39">
        <f>($D$52-$D$48*$D$62/100)*$D$37</f>
        <v/>
      </c>
      <c r="E84" s="24" t="inlineStr">
        <is>
          <t>t</t>
        </is>
      </c>
      <c r="F84" s="27" t="inlineStr">
        <is>
          <t>Vu = (RA − wu1·d)·cos θ</t>
        </is>
      </c>
    </row>
    <row r="85" ht="13.5" customHeight="1">
      <c r="B85" s="9" t="inlineStr">
        <is>
          <t>Vu a «d» del apoyo B (descanso)</t>
        </is>
      </c>
      <c r="C85" s="22" t="inlineStr">
        <is>
          <t>VuB</t>
        </is>
      </c>
      <c r="D85" s="39">
        <f>$D$53-$D$49*$D$62/100</f>
        <v/>
      </c>
      <c r="E85" s="24" t="inlineStr">
        <is>
          <t>t</t>
        </is>
      </c>
    </row>
    <row r="86" ht="13.5" customHeight="1">
      <c r="B86" s="9" t="inlineStr">
        <is>
          <t>φVc = 0.85·0.53·√f'c·b·d</t>
        </is>
      </c>
      <c r="C86" s="22" t="inlineStr">
        <is>
          <t>φVc</t>
        </is>
      </c>
      <c r="D86" s="39">
        <f>0.85*0.53*SQRT($D$11)*$D$63*$D$62/1000</f>
        <v/>
      </c>
      <c r="E86" s="24" t="inlineStr">
        <is>
          <t>t</t>
        </is>
      </c>
    </row>
    <row r="87" ht="13.5" customHeight="1">
      <c r="B87" s="9" t="inlineStr">
        <is>
          <t>máx(VuA, VuB) ≤ φVc</t>
        </is>
      </c>
      <c r="C87" s="29">
        <f>IF(MAX($D$84,$D$85)&lt;=$D$86,"CUMPLE","NO CUMPLE")</f>
        <v/>
      </c>
      <c r="D87" s="30" t="n"/>
      <c r="E87" s="30" t="n"/>
      <c r="F87" s="27" t="inlineStr">
        <is>
          <t>Si no cumple: aumente t</t>
        </is>
      </c>
    </row>
    <row r="89" ht="17" customHeight="1">
      <c r="B89" s="21" t="inlineStr">
        <is>
          <t>7. RESUMEN</t>
        </is>
      </c>
    </row>
    <row r="90" ht="13.5" customHeight="1">
      <c r="B90" s="9" t="inlineStr">
        <is>
          <t>Geometría</t>
        </is>
      </c>
      <c r="C90" s="22" t="inlineStr"/>
      <c r="D90" s="44">
        <f>$D$17&amp;" contrapasos de "&amp;FIXED($D$16,1)&amp;" cm · pasos de "&amp;FIXED($D$15,1)&amp;" cm · t = "&amp;FIXED($D$21,0)&amp;" cm"</f>
        <v/>
      </c>
      <c r="E90" s="30" t="n"/>
      <c r="F90" s="30" t="n"/>
    </row>
    <row r="91" ht="13.5" customHeight="1">
      <c r="B91" s="9" t="inlineStr">
        <is>
          <t>Acero inferior (+)</t>
        </is>
      </c>
      <c r="C91" s="22" t="inlineStr"/>
      <c r="D91" s="44">
        <f>$D$72</f>
        <v/>
      </c>
      <c r="E91" s="30" t="n"/>
      <c r="F91" s="30" t="n"/>
    </row>
    <row r="92" ht="13.5" customHeight="1">
      <c r="B92" s="9" t="inlineStr">
        <is>
          <t>Acero superior (−)</t>
        </is>
      </c>
      <c r="C92" s="22" t="inlineStr"/>
      <c r="D92" s="44">
        <f>$D$77</f>
        <v/>
      </c>
      <c r="E92" s="30" t="n"/>
      <c r="F92" s="30" t="n"/>
    </row>
    <row r="93" ht="13.5" customHeight="1">
      <c r="B93" s="9" t="inlineStr">
        <is>
          <t>Acero transversal</t>
        </is>
      </c>
      <c r="C93" s="22" t="inlineStr"/>
      <c r="D93" s="44">
        <f>$D$81</f>
        <v/>
      </c>
      <c r="E93" s="30" t="n"/>
      <c r="F93" s="30" t="n"/>
    </row>
    <row r="94" ht="13.5" customHeight="1">
      <c r="B94" s="9" t="inlineStr">
        <is>
          <t>ESTADO GENERAL DEL DISEÑO</t>
        </is>
      </c>
      <c r="C94" s="29">
        <f>IF(AND($C$33="CUMPLE",$C$34="CUMPLE",$C$65="CUMPLE",$C$69="CUMPLE",$C$71="CUMPLE",$C$87="CUMPLE"),"CUMPLE","NO CUMPLE")</f>
        <v/>
      </c>
      <c r="D94" s="30" t="n"/>
      <c r="E94" s="30" t="n"/>
      <c r="F94" s="27" t="inlineStr">
        <is>
          <t>Revise las líneas en rojo</t>
        </is>
      </c>
    </row>
    <row r="96" ht="17" customHeight="1">
      <c r="B96" s="21" t="inlineStr">
        <is>
          <t>8. CROQUIS DEL TRAMO (se actualiza con los datos)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0">
    <mergeCell ref="C94:E94"/>
    <mergeCell ref="C7:F7"/>
    <mergeCell ref="B31:F31"/>
    <mergeCell ref="D91:F91"/>
    <mergeCell ref="C43:E43"/>
    <mergeCell ref="B96:F96"/>
    <mergeCell ref="D72:F72"/>
    <mergeCell ref="D77:E77"/>
    <mergeCell ref="C3:F3"/>
    <mergeCell ref="C71:E71"/>
    <mergeCell ref="B2:F2"/>
    <mergeCell ref="D93:F93"/>
    <mergeCell ref="C6:F6"/>
    <mergeCell ref="B1:F1"/>
    <mergeCell ref="D92:F92"/>
    <mergeCell ref="C5:F5"/>
    <mergeCell ref="B57:F57"/>
    <mergeCell ref="C4:F4"/>
    <mergeCell ref="B10:F10"/>
    <mergeCell ref="C69:E69"/>
    <mergeCell ref="C87:E87"/>
    <mergeCell ref="C34:E34"/>
    <mergeCell ref="D81:F81"/>
    <mergeCell ref="B83:F83"/>
    <mergeCell ref="C33:E33"/>
    <mergeCell ref="D90:F90"/>
    <mergeCell ref="B89:F89"/>
    <mergeCell ref="B51:F51"/>
    <mergeCell ref="B45:F45"/>
    <mergeCell ref="C65:E65"/>
  </mergeCells>
  <conditionalFormatting sqref="B1:F114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1">
    <dataValidation sqref="D27 D28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95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I176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8" max="8"/>
    <col hidden="1" width="13" customWidth="1" min="9" max="9"/>
  </cols>
  <sheetData>
    <row r="1" ht="24" customHeight="1">
      <c r="B1" s="14" t="inlineStr">
        <is>
          <t>ZAPATA AISLADA CON MOMENTOS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Zapata Z-1 (columna C-1, eje B-2)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H6" s="46" t="inlineStr">
        <is>
          <t>Datos del croquis</t>
        </is>
      </c>
      <c r="I6" s="46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H7" s="46">
        <f>-$D$54/2</f>
        <v/>
      </c>
      <c r="I7" s="46">
        <f>-$D$55/2</f>
        <v/>
      </c>
    </row>
    <row r="8">
      <c r="H8" s="46">
        <f>$D$54/2</f>
        <v/>
      </c>
      <c r="I8" s="46">
        <f>-$D$55/2</f>
        <v/>
      </c>
    </row>
    <row r="9">
      <c r="H9" s="46">
        <f>$D$54/2</f>
        <v/>
      </c>
      <c r="I9" s="46">
        <f>$D$55/2</f>
        <v/>
      </c>
    </row>
    <row r="10" ht="17" customHeight="1">
      <c r="B10" s="21" t="inlineStr">
        <is>
          <t>1. DATOS DE ENTRADA</t>
        </is>
      </c>
      <c r="H10" s="46">
        <f>-$D$54/2</f>
        <v/>
      </c>
      <c r="I10" s="46">
        <f>$D$55/2</f>
        <v/>
      </c>
    </row>
    <row r="11">
      <c r="B11" s="4" t="inlineStr">
        <is>
          <t>Materiales</t>
        </is>
      </c>
      <c r="H11" s="46">
        <f>-$D$54/2</f>
        <v/>
      </c>
      <c r="I11" s="46">
        <f>-$D$55/2</f>
        <v/>
      </c>
    </row>
    <row r="12" ht="13.5" customHeight="1">
      <c r="B12" s="9" t="inlineStr">
        <is>
          <t>Resistencia del concreto</t>
        </is>
      </c>
      <c r="C12" s="22" t="inlineStr">
        <is>
          <t>f'c</t>
        </is>
      </c>
      <c r="D12" s="23" t="n">
        <v>210</v>
      </c>
      <c r="E12" s="24" t="inlineStr">
        <is>
          <t>kgf/cm²</t>
        </is>
      </c>
      <c r="F12" s="27" t="inlineStr">
        <is>
          <t>Zapatas: f'c ≥ 210 kgf/cm² recomendado</t>
        </is>
      </c>
      <c r="H12" s="46" t="n"/>
      <c r="I12" s="46" t="n"/>
    </row>
    <row r="13" ht="13.5" customHeight="1">
      <c r="B13" s="9" t="inlineStr">
        <is>
          <t>Fluencia del acero</t>
        </is>
      </c>
      <c r="C13" s="22" t="inlineStr">
        <is>
          <t>fy</t>
        </is>
      </c>
      <c r="D13" s="23" t="n">
        <v>4200</v>
      </c>
      <c r="E13" s="24" t="inlineStr">
        <is>
          <t>kgf/cm²</t>
        </is>
      </c>
      <c r="F13" s="27" t="inlineStr">
        <is>
          <t>Acero Grado 60</t>
        </is>
      </c>
      <c r="H13" s="46">
        <f>-$D$15/200</f>
        <v/>
      </c>
      <c r="I13" s="46">
        <f>-$D$16/200</f>
        <v/>
      </c>
    </row>
    <row r="14">
      <c r="B14" s="4" t="inlineStr">
        <is>
          <t>Columna</t>
        </is>
      </c>
      <c r="H14" s="46">
        <f>$D$15/200</f>
        <v/>
      </c>
      <c r="I14" s="46">
        <f>-$D$16/200</f>
        <v/>
      </c>
    </row>
    <row r="15" ht="13.5" customHeight="1">
      <c r="B15" s="9" t="inlineStr">
        <is>
          <t>Dimensión de la columna en X</t>
        </is>
      </c>
      <c r="C15" s="22" t="inlineStr">
        <is>
          <t>cx</t>
        </is>
      </c>
      <c r="D15" s="35" t="n">
        <v>40</v>
      </c>
      <c r="E15" s="24" t="inlineStr">
        <is>
          <t>cm</t>
        </is>
      </c>
      <c r="H15" s="46">
        <f>$D$15/200</f>
        <v/>
      </c>
      <c r="I15" s="46">
        <f>$D$16/200</f>
        <v/>
      </c>
    </row>
    <row r="16" ht="13.5" customHeight="1">
      <c r="B16" s="9" t="inlineStr">
        <is>
          <t>Dimensión de la columna en Y</t>
        </is>
      </c>
      <c r="C16" s="22" t="inlineStr">
        <is>
          <t>cy</t>
        </is>
      </c>
      <c r="D16" s="35" t="n">
        <v>40</v>
      </c>
      <c r="E16" s="24" t="inlineStr">
        <is>
          <t>cm</t>
        </is>
      </c>
      <c r="H16" s="46">
        <f>-$D$15/200</f>
        <v/>
      </c>
      <c r="I16" s="46">
        <f>$D$16/200</f>
        <v/>
      </c>
    </row>
    <row r="17" ht="13.5" customHeight="1">
      <c r="B17" s="9" t="inlineStr">
        <is>
          <t>Varilla longitudinal de la columna</t>
        </is>
      </c>
      <c r="C17" s="22" t="inlineStr">
        <is>
          <t>Ø col</t>
        </is>
      </c>
      <c r="D17" s="31" t="inlineStr">
        <is>
          <t>3/4"</t>
        </is>
      </c>
      <c r="E17" s="24" t="inlineStr"/>
      <c r="F17" s="27" t="inlineStr">
        <is>
          <t>Para verificar el anclaje en compresión</t>
        </is>
      </c>
      <c r="H17" s="46">
        <f>-$D$15/200</f>
        <v/>
      </c>
      <c r="I17" s="46">
        <f>-$D$16/200</f>
        <v/>
      </c>
    </row>
    <row r="18">
      <c r="B18" s="4" t="inlineStr">
        <is>
          <t>Cargas de servicio en la base de la columna</t>
        </is>
      </c>
      <c r="H18" s="46" t="n"/>
      <c r="I18" s="46" t="n"/>
    </row>
    <row r="19" ht="13.5" customHeight="1">
      <c r="B19" s="9" t="inlineStr">
        <is>
          <t>Carga muerta</t>
        </is>
      </c>
      <c r="C19" s="22" t="inlineStr">
        <is>
          <t>PD</t>
        </is>
      </c>
      <c r="D19" s="25" t="n">
        <v>60</v>
      </c>
      <c r="E19" s="24" t="inlineStr">
        <is>
          <t>t</t>
        </is>
      </c>
      <c r="H19" s="46">
        <f>-($D$15+$D$80)/200</f>
        <v/>
      </c>
      <c r="I19" s="46">
        <f>-($D$16+$D$80)/200</f>
        <v/>
      </c>
    </row>
    <row r="20" ht="13.5" customHeight="1">
      <c r="B20" s="9" t="inlineStr">
        <is>
          <t>Carga viva</t>
        </is>
      </c>
      <c r="C20" s="22" t="inlineStr">
        <is>
          <t>PL</t>
        </is>
      </c>
      <c r="D20" s="25" t="n">
        <v>25</v>
      </c>
      <c r="E20" s="24" t="inlineStr">
        <is>
          <t>t</t>
        </is>
      </c>
      <c r="H20" s="46">
        <f>($D$15+$D$80)/200</f>
        <v/>
      </c>
      <c r="I20" s="46">
        <f>-($D$16+$D$80)/200</f>
        <v/>
      </c>
    </row>
    <row r="21" ht="24" customHeight="1">
      <c r="B21" s="9" t="inlineStr">
        <is>
          <t>Carga axial de sismo (0 si no aplica)</t>
        </is>
      </c>
      <c r="C21" s="22" t="inlineStr">
        <is>
          <t>PS</t>
        </is>
      </c>
      <c r="D21" s="25" t="n">
        <v>0</v>
      </c>
      <c r="E21" s="24" t="inlineStr">
        <is>
          <t>t</t>
        </is>
      </c>
      <c r="F21" s="27" t="inlineStr">
        <is>
          <t>Verificación con 1.30·qadm y U = 1.25(CM+CV)+CS</t>
        </is>
      </c>
      <c r="H21" s="46">
        <f>($D$15+$D$80)/200</f>
        <v/>
      </c>
      <c r="I21" s="46">
        <f>($D$16+$D$80)/200</f>
        <v/>
      </c>
    </row>
    <row r="22">
      <c r="B22" s="4" t="inlineStr">
        <is>
          <t>Momentos de servicio en la base (Mx gira alrededor del eje X: varía la presión a lo largo de Y)</t>
        </is>
      </c>
      <c r="H22" s="46">
        <f>-($D$15+$D$80)/200</f>
        <v/>
      </c>
      <c r="I22" s="46">
        <f>($D$16+$D$80)/200</f>
        <v/>
      </c>
    </row>
    <row r="23" ht="13.5" customHeight="1">
      <c r="B23" s="9" t="inlineStr">
        <is>
          <t>Momento muerto Mx</t>
        </is>
      </c>
      <c r="C23" s="22" t="inlineStr">
        <is>
          <t>MDx</t>
        </is>
      </c>
      <c r="D23" s="25" t="n">
        <v>1</v>
      </c>
      <c r="E23" s="24" t="inlineStr">
        <is>
          <t>t·m</t>
        </is>
      </c>
      <c r="H23" s="46">
        <f>-($D$15+$D$80)/200</f>
        <v/>
      </c>
      <c r="I23" s="46">
        <f>-($D$16+$D$80)/200</f>
        <v/>
      </c>
    </row>
    <row r="24" ht="13.5" customHeight="1">
      <c r="B24" s="9" t="inlineStr">
        <is>
          <t>Momento vivo Mx</t>
        </is>
      </c>
      <c r="C24" s="22" t="inlineStr">
        <is>
          <t>MLx</t>
        </is>
      </c>
      <c r="D24" s="25" t="n">
        <v>0.5</v>
      </c>
      <c r="E24" s="24" t="inlineStr">
        <is>
          <t>t·m</t>
        </is>
      </c>
      <c r="H24" s="46" t="n"/>
      <c r="I24" s="46" t="n"/>
    </row>
    <row r="25" ht="13.5" customHeight="1">
      <c r="B25" s="9" t="inlineStr">
        <is>
          <t>Momento de sismo Mx</t>
        </is>
      </c>
      <c r="C25" s="22" t="inlineStr">
        <is>
          <t>MSx</t>
        </is>
      </c>
      <c r="D25" s="25" t="n">
        <v>3</v>
      </c>
      <c r="E25" s="24" t="inlineStr">
        <is>
          <t>t·m</t>
        </is>
      </c>
      <c r="F25" s="27" t="inlineStr">
        <is>
          <t>0 si no aplica</t>
        </is>
      </c>
      <c r="H25" s="46">
        <f>-MAX($D$54,$D$55)/2-0.1</f>
        <v/>
      </c>
      <c r="I25" s="46">
        <f>-MAX($D$54,$D$55)/2-0.1</f>
        <v/>
      </c>
    </row>
    <row r="26" ht="13.5" customHeight="1">
      <c r="B26" s="9" t="inlineStr">
        <is>
          <t>Momento muerto My</t>
        </is>
      </c>
      <c r="C26" s="22" t="inlineStr">
        <is>
          <t>MDy</t>
        </is>
      </c>
      <c r="D26" s="25" t="n">
        <v>0.5</v>
      </c>
      <c r="E26" s="24" t="inlineStr">
        <is>
          <t>t·m</t>
        </is>
      </c>
      <c r="H26" s="46">
        <f>-MAX($D$54,$D$55)/2-0.1+MAX($D$54,$D$55)+0.2</f>
        <v/>
      </c>
      <c r="I26" s="46">
        <f>-MAX($D$54,$D$55)/2-0.1+MAX($D$54,$D$55)+0.2</f>
        <v/>
      </c>
    </row>
    <row r="27" ht="13.5" customHeight="1">
      <c r="B27" s="9" t="inlineStr">
        <is>
          <t>Momento vivo My</t>
        </is>
      </c>
      <c r="C27" s="22" t="inlineStr">
        <is>
          <t>MLy</t>
        </is>
      </c>
      <c r="D27" s="25" t="n">
        <v>0.2</v>
      </c>
      <c r="E27" s="24" t="inlineStr">
        <is>
          <t>t·m</t>
        </is>
      </c>
    </row>
    <row r="28" ht="13.5" customHeight="1">
      <c r="B28" s="9" t="inlineStr">
        <is>
          <t>Momento de sismo My</t>
        </is>
      </c>
      <c r="C28" s="22" t="inlineStr">
        <is>
          <t>MSy</t>
        </is>
      </c>
      <c r="D28" s="25" t="n">
        <v>2</v>
      </c>
      <c r="E28" s="24" t="inlineStr">
        <is>
          <t>t·m</t>
        </is>
      </c>
    </row>
    <row r="29">
      <c r="B29" s="4" t="inlineStr">
        <is>
          <t>Suelo y cimentación</t>
        </is>
      </c>
    </row>
    <row r="30" ht="13.5" customHeight="1">
      <c r="B30" s="9" t="inlineStr">
        <is>
          <t>Capacidad portante admisible</t>
        </is>
      </c>
      <c r="C30" s="22" t="inlineStr">
        <is>
          <t>qadm</t>
        </is>
      </c>
      <c r="D30" s="25" t="n">
        <v>2</v>
      </c>
      <c r="E30" s="24" t="inlineStr">
        <is>
          <t>kgf/cm²</t>
        </is>
      </c>
      <c r="F30" s="27" t="inlineStr">
        <is>
          <t>Del estudio de mecánica de suelos (EMS)</t>
        </is>
      </c>
    </row>
    <row r="31" ht="13.5" customHeight="1">
      <c r="B31" s="9" t="inlineStr">
        <is>
          <t>Profundidad de desplante</t>
        </is>
      </c>
      <c r="C31" s="22" t="inlineStr">
        <is>
          <t>Df</t>
        </is>
      </c>
      <c r="D31" s="25" t="n">
        <v>1.5</v>
      </c>
      <c r="E31" s="24" t="inlineStr">
        <is>
          <t>m</t>
        </is>
      </c>
      <c r="F31" s="27" t="inlineStr">
        <is>
          <t>Del NPT o nivel de terreno al fondo de zapata</t>
        </is>
      </c>
    </row>
    <row r="32" ht="13.5" customHeight="1">
      <c r="B32" s="9" t="inlineStr">
        <is>
          <t>Peso unitario promedio suelo + concreto</t>
        </is>
      </c>
      <c r="C32" s="22" t="inlineStr">
        <is>
          <t>γm</t>
        </is>
      </c>
      <c r="D32" s="25" t="n">
        <v>2</v>
      </c>
      <c r="E32" s="24" t="inlineStr">
        <is>
          <t>t/m³</t>
        </is>
      </c>
      <c r="F32" s="27" t="inlineStr">
        <is>
          <t>Usual 2.0 t/m³</t>
        </is>
      </c>
    </row>
    <row r="33" ht="13.5" customHeight="1">
      <c r="B33" s="9" t="inlineStr">
        <is>
          <t>Sobrecarga sobre el piso</t>
        </is>
      </c>
      <c r="C33" s="22" t="inlineStr">
        <is>
          <t>s/c</t>
        </is>
      </c>
      <c r="D33" s="25" t="n">
        <v>0.25</v>
      </c>
      <c r="E33" s="24" t="inlineStr">
        <is>
          <t>t/m²</t>
        </is>
      </c>
      <c r="F33" s="27" t="inlineStr">
        <is>
          <t>Piso terminado sobre la zapata</t>
        </is>
      </c>
    </row>
    <row r="34" ht="13.5" customHeight="1">
      <c r="B34" s="9" t="inlineStr">
        <is>
          <t>Peralte de la zapata</t>
        </is>
      </c>
      <c r="C34" s="22" t="inlineStr">
        <is>
          <t>hz</t>
        </is>
      </c>
      <c r="D34" s="35" t="n">
        <v>60</v>
      </c>
      <c r="E34" s="24" t="inlineStr">
        <is>
          <t>cm</t>
        </is>
      </c>
      <c r="F34" s="27" t="inlineStr">
        <is>
          <t>Mínimo práctico 50–60 cm; se verifica abajo</t>
        </is>
      </c>
    </row>
    <row r="35" ht="24" customHeight="1">
      <c r="B35" s="9" t="inlineStr">
        <is>
          <t>Recubrimiento inferior</t>
        </is>
      </c>
      <c r="C35" s="22" t="inlineStr">
        <is>
          <t>r</t>
        </is>
      </c>
      <c r="D35" s="35" t="n">
        <v>7.5</v>
      </c>
      <c r="E35" s="24" t="inlineStr">
        <is>
          <t>cm</t>
        </is>
      </c>
      <c r="F35" s="27" t="inlineStr">
        <is>
          <t>E.060 7.7.1: concreto vaciado contra el suelo ≥ 7 cm</t>
        </is>
      </c>
    </row>
    <row r="36" ht="13.5" customHeight="1">
      <c r="B36" s="9" t="inlineStr">
        <is>
          <t>Varilla de la parrilla</t>
        </is>
      </c>
      <c r="C36" s="22" t="inlineStr">
        <is>
          <t>Ø</t>
        </is>
      </c>
      <c r="D36" s="31" t="inlineStr">
        <is>
          <t>5/8"</t>
        </is>
      </c>
      <c r="E36" s="24" t="inlineStr"/>
    </row>
    <row r="37" ht="13.5" customHeight="1">
      <c r="B37" s="9" t="inlineStr">
        <is>
          <t>Lado X adoptado (vacío = usar el sugerido)</t>
        </is>
      </c>
      <c r="C37" s="22" t="inlineStr">
        <is>
          <t>Lx</t>
        </is>
      </c>
      <c r="D37" s="25" t="n"/>
      <c r="E37" s="24" t="inlineStr">
        <is>
          <t>m</t>
        </is>
      </c>
      <c r="F37" s="27" t="inlineStr">
        <is>
          <t>Opcional: escriba su dimensión</t>
        </is>
      </c>
    </row>
    <row r="38" ht="13.5" customHeight="1">
      <c r="B38" s="9" t="inlineStr">
        <is>
          <t>Lado Y adoptado (vacío = usar el sugerido)</t>
        </is>
      </c>
      <c r="C38" s="22" t="inlineStr">
        <is>
          <t>Ly</t>
        </is>
      </c>
      <c r="D38" s="25" t="n"/>
      <c r="E38" s="24" t="inlineStr">
        <is>
          <t>m</t>
        </is>
      </c>
      <c r="F38" s="27" t="inlineStr">
        <is>
          <t>Opcional: escriba su dimensión</t>
        </is>
      </c>
    </row>
    <row r="40" ht="17" customHeight="1">
      <c r="B40" s="21" t="inlineStr">
        <is>
          <t>2. DIMENSIONES EN PLANTA (cargas de servicio)</t>
        </is>
      </c>
    </row>
    <row r="41" ht="13.5" customHeight="1">
      <c r="B41" s="9" t="inlineStr">
        <is>
          <t>Capacidad neta del suelo</t>
        </is>
      </c>
      <c r="C41" s="22" t="inlineStr">
        <is>
          <t>qn</t>
        </is>
      </c>
      <c r="D41" s="34">
        <f>$D$30*10-$D$32*$D$31-$D$33</f>
        <v/>
      </c>
      <c r="E41" s="24" t="inlineStr">
        <is>
          <t>t/m²</t>
        </is>
      </c>
      <c r="F41" s="27" t="inlineStr">
        <is>
          <t>qn = qadm − γm·Df − s/c</t>
        </is>
      </c>
    </row>
    <row r="42" ht="13.5" customHeight="1">
      <c r="B42" s="9" t="inlineStr">
        <is>
          <t>Capacidad neta positiva</t>
        </is>
      </c>
      <c r="C42" s="29">
        <f>IF($D$41&gt;0,"CUMPLE","NO CUMPLE")</f>
        <v/>
      </c>
      <c r="D42" s="30" t="n"/>
      <c r="E42" s="30" t="n"/>
      <c r="F42" s="27" t="inlineStr">
        <is>
          <t>Si no cumple: qadm insuficiente para ese Df</t>
        </is>
      </c>
    </row>
    <row r="43" ht="13.5" customHeight="1">
      <c r="B43" s="9" t="inlineStr">
        <is>
          <t>Capacidad neta con sismo</t>
        </is>
      </c>
      <c r="C43" s="22" t="inlineStr">
        <is>
          <t>qns</t>
        </is>
      </c>
      <c r="D43" s="34">
        <f>1.3*$D$30*10-$D$32*$D$31-$D$33</f>
        <v/>
      </c>
      <c r="E43" s="24" t="inlineStr">
        <is>
          <t>t/m²</t>
        </is>
      </c>
      <c r="F43" s="27" t="inlineStr">
        <is>
          <t>1.30·qadm para cargas de sismo</t>
        </is>
      </c>
    </row>
    <row r="44" ht="13.5" customHeight="1">
      <c r="B44" s="9" t="inlineStr">
        <is>
          <t>Área requerida</t>
        </is>
      </c>
      <c r="C44" s="22" t="inlineStr">
        <is>
          <t>Areq</t>
        </is>
      </c>
      <c r="D44" s="39">
        <f>IF($D$41&lt;=0,0.01,MAX(($D$19+$D$20)/$D$41,($D$19+$D$20+$D$21)/$D$43))</f>
        <v/>
      </c>
      <c r="E44" s="24" t="inlineStr">
        <is>
          <t>m²</t>
        </is>
      </c>
      <c r="F44" s="27" t="inlineStr">
        <is>
          <t>Mayor entre gravedad y gravedad + sismo</t>
        </is>
      </c>
    </row>
    <row r="45" ht="13.5" customHeight="1">
      <c r="B45" s="9" t="inlineStr">
        <is>
          <t>Suma de momentos de gravedad |Mx| + |My|</t>
        </is>
      </c>
      <c r="C45" s="22" t="inlineStr">
        <is>
          <t>Mg</t>
        </is>
      </c>
      <c r="D45" s="34">
        <f>ABS($D$23+$D$24)+ABS($D$26+$D$27)</f>
        <v/>
      </c>
      <c r="E45" s="24" t="inlineStr">
        <is>
          <t>t·m</t>
        </is>
      </c>
    </row>
    <row r="46" ht="13.5" customHeight="1">
      <c r="B46" s="9" t="inlineStr">
        <is>
          <t>Suma de momentos con sismo</t>
        </is>
      </c>
      <c r="C46" s="22" t="inlineStr">
        <is>
          <t>Ms</t>
        </is>
      </c>
      <c r="D46" s="34">
        <f>ABS($D$23+$D$24)+ABS($D$25)+ABS($D$26+$D$27)+ABS($D$28)</f>
        <v/>
      </c>
      <c r="E46" s="24" t="inlineStr">
        <is>
          <t>t·m</t>
        </is>
      </c>
    </row>
    <row r="47" ht="13.5" customHeight="1">
      <c r="B47" s="9" t="inlineStr">
        <is>
          <t>Lado equivalente con momentos · iteración 1</t>
        </is>
      </c>
      <c r="C47" s="22" t="inlineStr">
        <is>
          <t>S</t>
        </is>
      </c>
      <c r="D47" s="39">
        <f>MAX(SQRT(MAX(0,($D$19+$D$20+6*$D$45/(SQRT($D$44)))/$D$41)),SQRT(MAX(0,($D$19+$D$20+$D$21+6*$D$46/(SQRT($D$44)))/$D$43)))</f>
        <v/>
      </c>
      <c r="E47" s="24" t="inlineStr">
        <is>
          <t>m</t>
        </is>
      </c>
      <c r="F47" s="27" t="inlineStr">
        <is>
          <t>S = √[(P + 6ΣM/S)/qn]</t>
        </is>
      </c>
    </row>
    <row r="48" ht="13.5" customHeight="1">
      <c r="B48" s="9" t="inlineStr">
        <is>
          <t>Lado equivalente con momentos · iteración 2</t>
        </is>
      </c>
      <c r="C48" s="22" t="inlineStr">
        <is>
          <t>S</t>
        </is>
      </c>
      <c r="D48" s="39">
        <f>MAX(SQRT(MAX(0,($D$19+$D$20+6*$D$45/($D$47))/$D$41)),SQRT(MAX(0,($D$19+$D$20+$D$21+6*$D$46/($D$47))/$D$43)))</f>
        <v/>
      </c>
      <c r="E48" s="24" t="inlineStr">
        <is>
          <t>m</t>
        </is>
      </c>
    </row>
    <row r="49" ht="13.5" customHeight="1">
      <c r="B49" s="9" t="inlineStr">
        <is>
          <t>Lado equivalente con momentos · iteración 3</t>
        </is>
      </c>
      <c r="C49" s="22" t="inlineStr">
        <is>
          <t>S</t>
        </is>
      </c>
      <c r="D49" s="39">
        <f>MAX(SQRT(MAX(0,($D$19+$D$20+6*$D$45/($D$48))/$D$41)),SQRT(MAX(0,($D$19+$D$20+$D$21+6*$D$46/($D$48))/$D$43)))</f>
        <v/>
      </c>
      <c r="E49" s="24" t="inlineStr">
        <is>
          <t>m</t>
        </is>
      </c>
    </row>
    <row r="50" ht="13.5" customHeight="1">
      <c r="B50" s="9" t="inlineStr">
        <is>
          <t>Lado equivalente con momentos · iteración 4</t>
        </is>
      </c>
      <c r="C50" s="22" t="inlineStr">
        <is>
          <t>S</t>
        </is>
      </c>
      <c r="D50" s="39">
        <f>MAX(SQRT(MAX(0,($D$19+$D$20+6*$D$45/($D$49))/$D$41)),SQRT(MAX(0,($D$19+$D$20+$D$21+6*$D$46/($D$49))/$D$43)))</f>
        <v/>
      </c>
      <c r="E50" s="24" t="inlineStr">
        <is>
          <t>m</t>
        </is>
      </c>
    </row>
    <row r="51" ht="13.5" customHeight="1">
      <c r="B51" s="9" t="inlineStr">
        <is>
          <t>Lado equivalente con momentos · iteración 5</t>
        </is>
      </c>
      <c r="C51" s="22" t="inlineStr">
        <is>
          <t>S</t>
        </is>
      </c>
      <c r="D51" s="39">
        <f>MAX(SQRT(MAX(0,($D$19+$D$20+6*$D$45/($D$50))/$D$41)),SQRT(MAX(0,($D$19+$D$20+$D$21+6*$D$46/($D$50))/$D$43)))</f>
        <v/>
      </c>
      <c r="E51" s="24" t="inlineStr">
        <is>
          <t>m</t>
        </is>
      </c>
    </row>
    <row r="52" ht="13.5" customHeight="1">
      <c r="B52" s="9" t="inlineStr">
        <is>
          <t>Lado X sugerido (volados iguales)</t>
        </is>
      </c>
      <c r="C52" s="22" t="inlineStr">
        <is>
          <t>Lx</t>
        </is>
      </c>
      <c r="D52" s="34">
        <f>CEILING(IF($D$41&lt;=0,1,$D$51)+($D$15-$D$16)/200,0.05)</f>
        <v/>
      </c>
      <c r="E52" s="24" t="inlineStr">
        <is>
          <t>m</t>
        </is>
      </c>
      <c r="F52" s="27" t="inlineStr">
        <is>
          <t>Redondeado a 0.05 m</t>
        </is>
      </c>
    </row>
    <row r="53" ht="13.5" customHeight="1">
      <c r="B53" s="9" t="inlineStr">
        <is>
          <t>Lado Y sugerido (volados iguales)</t>
        </is>
      </c>
      <c r="C53" s="22" t="inlineStr">
        <is>
          <t>Ly</t>
        </is>
      </c>
      <c r="D53" s="34">
        <f>CEILING(IF($D$41&lt;=0,1,$D$51)-($D$15-$D$16)/200,0.05)</f>
        <v/>
      </c>
      <c r="E53" s="24" t="inlineStr">
        <is>
          <t>m</t>
        </is>
      </c>
    </row>
    <row r="54" ht="13.5" customHeight="1">
      <c r="B54" s="9" t="inlineStr">
        <is>
          <t>Lado X de diseño</t>
        </is>
      </c>
      <c r="C54" s="22" t="inlineStr">
        <is>
          <t>Lx</t>
        </is>
      </c>
      <c r="D54" s="34">
        <f>IF(ISNUMBER($D$37),$D$37,$D$52)</f>
        <v/>
      </c>
      <c r="E54" s="24" t="inlineStr">
        <is>
          <t>m</t>
        </is>
      </c>
    </row>
    <row r="55" ht="13.5" customHeight="1">
      <c r="B55" s="9" t="inlineStr">
        <is>
          <t>Lado Y de diseño</t>
        </is>
      </c>
      <c r="C55" s="22" t="inlineStr">
        <is>
          <t>Ly</t>
        </is>
      </c>
      <c r="D55" s="34">
        <f>IF(ISNUMBER($D$38),$D$38,$D$53)</f>
        <v/>
      </c>
      <c r="E55" s="24" t="inlineStr">
        <is>
          <t>m</t>
        </is>
      </c>
    </row>
    <row r="56" ht="13.5" customHeight="1">
      <c r="B56" s="9" t="inlineStr">
        <is>
          <t>Volado en X</t>
        </is>
      </c>
      <c r="C56" s="22" t="inlineStr">
        <is>
          <t>mx</t>
        </is>
      </c>
      <c r="D56" s="26">
        <f>($D$54*100-$D$15)/2</f>
        <v/>
      </c>
      <c r="E56" s="24" t="inlineStr">
        <is>
          <t>cm</t>
        </is>
      </c>
    </row>
    <row r="57" ht="13.5" customHeight="1">
      <c r="B57" s="9" t="inlineStr">
        <is>
          <t>Volado en Y</t>
        </is>
      </c>
      <c r="C57" s="22" t="inlineStr">
        <is>
          <t>my</t>
        </is>
      </c>
      <c r="D57" s="26">
        <f>($D$55*100-$D$16)/2</f>
        <v/>
      </c>
      <c r="E57" s="24" t="inlineStr">
        <is>
          <t>cm</t>
        </is>
      </c>
    </row>
    <row r="58" ht="13.5" customHeight="1">
      <c r="B58" s="9" t="inlineStr">
        <is>
          <t>Presión máxima de servicio (gravedad)</t>
        </is>
      </c>
      <c r="C58" s="22" t="inlineStr">
        <is>
          <t>qmáx</t>
        </is>
      </c>
      <c r="D58" s="34">
        <f>($D$19+$D$20)/($D$54*$D$55)+6*ABS($D$23+$D$24)/($D$54*$D$55^2)+6*ABS($D$26+$D$27)/($D$55*$D$54^2)</f>
        <v/>
      </c>
      <c r="E58" s="24" t="inlineStr">
        <is>
          <t>t/m²</t>
        </is>
      </c>
      <c r="F58" s="27" t="inlineStr">
        <is>
          <t>q = P/A ± 6Mx/(Lx·Ly²) ± 6My/(Ly·Lx²)</t>
        </is>
      </c>
    </row>
    <row r="59" ht="13.5" customHeight="1">
      <c r="B59" s="9" t="inlineStr">
        <is>
          <t>qmáx ≤ qn</t>
        </is>
      </c>
      <c r="C59" s="29">
        <f>IF($D$58&lt;=$D$41+0.0001,"CUMPLE","NO CUMPLE")</f>
        <v/>
      </c>
      <c r="D59" s="30" t="n"/>
      <c r="E59" s="30" t="n"/>
      <c r="F59" s="27" t="inlineStr">
        <is>
          <t>Si no cumple: aumente Lx y Ly</t>
        </is>
      </c>
    </row>
    <row r="60" ht="13.5" customHeight="1">
      <c r="B60" s="9" t="inlineStr">
        <is>
          <t>Presión mínima de servicio (gravedad)</t>
        </is>
      </c>
      <c r="C60" s="22" t="inlineStr">
        <is>
          <t>qmín</t>
        </is>
      </c>
      <c r="D60" s="34">
        <f>($D$19+$D$20)/($D$54*$D$55)-6*ABS($D$23+$D$24)/($D$54*$D$55^2)-6*ABS($D$26+$D$27)/($D$55*$D$54^2)</f>
        <v/>
      </c>
      <c r="E60" s="24" t="inlineStr">
        <is>
          <t>t/m²</t>
        </is>
      </c>
    </row>
    <row r="61" ht="24" customHeight="1">
      <c r="B61" s="9" t="inlineStr">
        <is>
          <t>qmín ≥ 0 (sin tracciones con gravedad)</t>
        </is>
      </c>
      <c r="C61" s="29">
        <f>IF($D$60&gt;=0,"CUMPLE","NO CUMPLE")</f>
        <v/>
      </c>
      <c r="D61" s="30" t="n"/>
      <c r="E61" s="30" t="n"/>
      <c r="F61" s="27" t="inlineStr">
        <is>
          <t>Si no cumple: agrande la zapata o use zapata conectada</t>
        </is>
      </c>
    </row>
    <row r="62" ht="13.5" customHeight="1">
      <c r="B62" s="9" t="inlineStr">
        <is>
          <t>Presión máxima de servicio (con sismo)</t>
        </is>
      </c>
      <c r="C62" s="22" t="inlineStr">
        <is>
          <t>qmáx</t>
        </is>
      </c>
      <c r="D62" s="34">
        <f>($D$19+$D$20+$D$21)/($D$54*$D$55)+6*(ABS($D$23+$D$24)+ABS($D$25))/($D$54*$D$55^2)+6*(ABS($D$26+$D$27)+ABS($D$28))/($D$55*$D$54^2)</f>
        <v/>
      </c>
      <c r="E62" s="24" t="inlineStr">
        <is>
          <t>t/m²</t>
        </is>
      </c>
    </row>
    <row r="63" ht="13.5" customHeight="1">
      <c r="B63" s="9" t="inlineStr">
        <is>
          <t>qmáx (sismo) ≤ qn con 1.30·qadm</t>
        </is>
      </c>
      <c r="C63" s="29">
        <f>IF($D$62&lt;=$D$43+0.0001,"CUMPLE","NO CUMPLE")</f>
        <v/>
      </c>
      <c r="D63" s="30" t="n"/>
      <c r="E63" s="30" t="n"/>
    </row>
    <row r="64" ht="13.5" customHeight="1">
      <c r="B64" s="9" t="inlineStr">
        <is>
          <t>Presión mínima de servicio (con sismo)</t>
        </is>
      </c>
      <c r="C64" s="22" t="inlineStr">
        <is>
          <t>qmín</t>
        </is>
      </c>
      <c r="D64" s="34">
        <f>($D$19+$D$20+$D$21)/($D$54*$D$55)-6*(ABS($D$23+$D$24)+ABS($D$25))/($D$54*$D$55^2)-6*(ABS($D$26+$D$27)+ABS($D$28))/($D$55*$D$54^2)</f>
        <v/>
      </c>
      <c r="E64" s="24" t="inlineStr">
        <is>
          <t>t/m²</t>
        </is>
      </c>
    </row>
    <row r="65" ht="24" customHeight="1">
      <c r="B65" s="9" t="inlineStr">
        <is>
          <t>qmín (sismo) ≥ 0</t>
        </is>
      </c>
      <c r="C65" s="29">
        <f>IF($D$64&gt;=0,"CUMPLE","REVISAR")</f>
        <v/>
      </c>
      <c r="D65" s="30" t="n"/>
      <c r="E65" s="30" t="n"/>
      <c r="F65" s="27" t="inlineStr">
        <is>
          <t>Si sale REVISAR: hay levantamiento parcial; redistribuya la presión o agrande la zapata</t>
        </is>
      </c>
    </row>
    <row r="67" ht="17" customHeight="1">
      <c r="B67" s="21" t="inlineStr">
        <is>
          <t>3. REACCIÓN AMPLIFICADA DEL SUELO (E.060 9.2)</t>
        </is>
      </c>
    </row>
    <row r="68" ht="13.5" customHeight="1">
      <c r="B68" s="9" t="inlineStr">
        <is>
          <t>U1 = 1.4·CM + 1.7·CV</t>
        </is>
      </c>
      <c r="C68" s="22" t="inlineStr">
        <is>
          <t>Pu1</t>
        </is>
      </c>
      <c r="D68" s="34">
        <f>1.4*$D$19+1.7*$D$20</f>
        <v/>
      </c>
      <c r="E68" s="24" t="inlineStr">
        <is>
          <t>t</t>
        </is>
      </c>
    </row>
    <row r="69" ht="13.5" customHeight="1">
      <c r="B69" s="9" t="inlineStr">
        <is>
          <t>U2 = 1.25·(CM + CV) + CS</t>
        </is>
      </c>
      <c r="C69" s="22" t="inlineStr">
        <is>
          <t>Pu2</t>
        </is>
      </c>
      <c r="D69" s="34">
        <f>1.25*($D$19+$D$20)+$D$21</f>
        <v/>
      </c>
      <c r="E69" s="24" t="inlineStr">
        <is>
          <t>t</t>
        </is>
      </c>
    </row>
    <row r="70" ht="13.5" customHeight="1">
      <c r="B70" s="9" t="inlineStr">
        <is>
          <t>U3 = 0.9·CM + CS</t>
        </is>
      </c>
      <c r="C70" s="22" t="inlineStr">
        <is>
          <t>Pu3</t>
        </is>
      </c>
      <c r="D70" s="34">
        <f>0.9*$D$19+$D$21</f>
        <v/>
      </c>
      <c r="E70" s="24" t="inlineStr">
        <is>
          <t>t</t>
        </is>
      </c>
    </row>
    <row r="71" ht="13.5" customHeight="1">
      <c r="B71" s="9" t="inlineStr">
        <is>
          <t>Carga última de diseño</t>
        </is>
      </c>
      <c r="C71" s="22" t="inlineStr">
        <is>
          <t>Pu</t>
        </is>
      </c>
      <c r="D71" s="34">
        <f>MAX($D$68,$D$69,$D$70)</f>
        <v/>
      </c>
      <c r="E71" s="24" t="inlineStr">
        <is>
          <t>t</t>
        </is>
      </c>
    </row>
    <row r="72" ht="13.5" customHeight="1">
      <c r="B72" s="9" t="inlineStr">
        <is>
          <t>Presión última máxima U1</t>
        </is>
      </c>
      <c r="C72" s="22" t="inlineStr">
        <is>
          <t>qu1</t>
        </is>
      </c>
      <c r="D72" s="34">
        <f>$D$68/($D$54*$D$55)+6*ABS(1.4*$D$23+1.7*$D$24)/($D$54*$D$55^2)+6*ABS(1.4*$D$26+1.7*$D$27)/($D$55*$D$54^2)</f>
        <v/>
      </c>
      <c r="E72" s="24" t="inlineStr">
        <is>
          <t>t/m²</t>
        </is>
      </c>
    </row>
    <row r="73" ht="13.5" customHeight="1">
      <c r="B73" s="9" t="inlineStr">
        <is>
          <t>Presión última máxima U2</t>
        </is>
      </c>
      <c r="C73" s="22" t="inlineStr">
        <is>
          <t>qu2</t>
        </is>
      </c>
      <c r="D73" s="34">
        <f>$D$69/($D$54*$D$55)+6*ABS(ABS(1.25*($D$23+$D$24))+ABS($D$25))/($D$54*$D$55^2)+6*ABS(ABS(1.25*($D$26+$D$27))+ABS($D$28))/($D$55*$D$54^2)</f>
        <v/>
      </c>
      <c r="E73" s="24" t="inlineStr">
        <is>
          <t>t/m²</t>
        </is>
      </c>
    </row>
    <row r="74" ht="13.5" customHeight="1">
      <c r="B74" s="9" t="inlineStr">
        <is>
          <t>Presión última máxima U3</t>
        </is>
      </c>
      <c r="C74" s="22" t="inlineStr">
        <is>
          <t>qu3</t>
        </is>
      </c>
      <c r="D74" s="34">
        <f>$D$70/($D$54*$D$55)+6*ABS(ABS(0.9*$D$23)+ABS($D$25))/($D$54*$D$55^2)+6*ABS(ABS(0.9*$D$26)+ABS($D$28))/($D$55*$D$54^2)</f>
        <v/>
      </c>
      <c r="E74" s="24" t="inlineStr">
        <is>
          <t>t/m²</t>
        </is>
      </c>
    </row>
    <row r="75" ht="24" customHeight="1">
      <c r="B75" s="9" t="inlineStr">
        <is>
          <t>Reacción última de diseño (máxima, uniforme conservadora)</t>
        </is>
      </c>
      <c r="C75" s="22" t="inlineStr">
        <is>
          <t>qu</t>
        </is>
      </c>
      <c r="D75" s="34">
        <f>MAX($D$72,$D$73,$D$74)</f>
        <v/>
      </c>
      <c r="E75" s="24" t="inlineStr">
        <is>
          <t>t/m²</t>
        </is>
      </c>
      <c r="F75" s="27" t="inlineStr">
        <is>
          <t>Se usa para cortante y flexión</t>
        </is>
      </c>
    </row>
    <row r="77" ht="17" customHeight="1">
      <c r="B77" s="21" t="inlineStr">
        <is>
          <t>4. VERIFICACIÓN POR PUNZONAMIENTO (E.060 11.12.2)</t>
        </is>
      </c>
    </row>
    <row r="78" ht="13.5" customHeight="1">
      <c r="B78" s="9" t="inlineStr">
        <is>
          <t>Diámetro de la varilla</t>
        </is>
      </c>
      <c r="C78" s="22" t="inlineStr">
        <is>
          <t>db</t>
        </is>
      </c>
      <c r="D78" s="39">
        <f>INDEX(BAR_DB,MATCH($D$36,BAR_NOM,0))</f>
        <v/>
      </c>
      <c r="E78" s="24" t="inlineStr">
        <is>
          <t>cm</t>
        </is>
      </c>
    </row>
    <row r="79" ht="13.5" customHeight="1">
      <c r="B79" s="9" t="inlineStr">
        <is>
          <t>Área de la varilla</t>
        </is>
      </c>
      <c r="C79" s="22" t="inlineStr">
        <is>
          <t>Ab</t>
        </is>
      </c>
      <c r="D79" s="34">
        <f>INDEX(BAR_AS,MATCH($D$36,BAR_NOM,0))</f>
        <v/>
      </c>
      <c r="E79" s="24" t="inlineStr">
        <is>
          <t>cm²</t>
        </is>
      </c>
    </row>
    <row r="80" ht="13.5" customHeight="1">
      <c r="B80" s="9" t="inlineStr">
        <is>
          <t>Peralte efectivo</t>
        </is>
      </c>
      <c r="C80" s="22" t="inlineStr">
        <is>
          <t>d</t>
        </is>
      </c>
      <c r="D80" s="34">
        <f>$D$34-$D$35-$D$78</f>
        <v/>
      </c>
      <c r="E80" s="24" t="inlineStr">
        <is>
          <t>cm</t>
        </is>
      </c>
      <c r="F80" s="27" t="inlineStr">
        <is>
          <t>d = hz − r − db (parrilla de dos capas)</t>
        </is>
      </c>
    </row>
    <row r="81" ht="13.5" customHeight="1">
      <c r="B81" s="9" t="inlineStr">
        <is>
          <t>Perímetro de la sección crítica (a d/2)</t>
        </is>
      </c>
      <c r="C81" s="22" t="inlineStr">
        <is>
          <t>bo</t>
        </is>
      </c>
      <c r="D81" s="26">
        <f>2*($D$15+$D$80)+2*($D$16+$D$80)</f>
        <v/>
      </c>
      <c r="E81" s="24" t="inlineStr">
        <is>
          <t>cm</t>
        </is>
      </c>
    </row>
    <row r="82" ht="13.5" customHeight="1">
      <c r="B82" s="9" t="inlineStr">
        <is>
          <t>Área dentro de la sección crítica</t>
        </is>
      </c>
      <c r="C82" s="22" t="inlineStr">
        <is>
          <t>Ao</t>
        </is>
      </c>
      <c r="D82" s="39">
        <f>($D$15+$D$80)*($D$16+$D$80)/10000</f>
        <v/>
      </c>
      <c r="E82" s="24" t="inlineStr">
        <is>
          <t>m²</t>
        </is>
      </c>
    </row>
    <row r="83" ht="13.5" customHeight="1">
      <c r="B83" s="9" t="inlineStr">
        <is>
          <t>Cortante último por punzonamiento</t>
        </is>
      </c>
      <c r="C83" s="22" t="inlineStr">
        <is>
          <t>Vu</t>
        </is>
      </c>
      <c r="D83" s="34">
        <f>$D$71*(1-$D$82/($D$54*$D$55))</f>
        <v/>
      </c>
      <c r="E83" s="24" t="inlineStr">
        <is>
          <t>t</t>
        </is>
      </c>
      <c r="F83" s="27" t="inlineStr">
        <is>
          <t>Vu = Pu − (Pu/A)·Ao</t>
        </is>
      </c>
    </row>
    <row r="84" ht="13.5" customHeight="1">
      <c r="B84" s="9" t="inlineStr">
        <is>
          <t>Relación de lados de la columna</t>
        </is>
      </c>
      <c r="C84" s="22" t="inlineStr">
        <is>
          <t>βc</t>
        </is>
      </c>
      <c r="D84" s="34">
        <f>MAX($D$15,$D$16)/MIN($D$15,$D$16)</f>
        <v/>
      </c>
      <c r="E84" s="24" t="inlineStr"/>
    </row>
    <row r="85" ht="24" customHeight="1">
      <c r="B85" s="9" t="inlineStr">
        <is>
          <t>Coeficiente αs (columna interior, perímetro de 4 lados)</t>
        </is>
      </c>
      <c r="C85" s="22" t="inlineStr">
        <is>
          <t>αs</t>
        </is>
      </c>
      <c r="D85" s="28">
        <f>40</f>
        <v/>
      </c>
      <c r="E85" s="24" t="inlineStr"/>
      <c r="F85" s="27" t="inlineStr">
        <is>
          <t>Zapata céntrica</t>
        </is>
      </c>
    </row>
    <row r="86" ht="13.5" customHeight="1">
      <c r="B86" s="9" t="inlineStr">
        <is>
          <t>Vc = 0.53·(1 + 2/βc)·√f'c·bo·d</t>
        </is>
      </c>
      <c r="C86" s="22" t="inlineStr">
        <is>
          <t>Vc1</t>
        </is>
      </c>
      <c r="D86" s="34">
        <f>0.53*(1+2/$D$84)*SQRT($D$12)*$D$81*$D$80/1000</f>
        <v/>
      </c>
      <c r="E86" s="24" t="inlineStr">
        <is>
          <t>t</t>
        </is>
      </c>
      <c r="F86" s="27" t="inlineStr">
        <is>
          <t>E.060 11.12.2.1(a)</t>
        </is>
      </c>
    </row>
    <row r="87" ht="13.5" customHeight="1">
      <c r="B87" s="9" t="inlineStr">
        <is>
          <t>Vc = 0.27·(αs·d/bo + 2)·√f'c·bo·d</t>
        </is>
      </c>
      <c r="C87" s="22" t="inlineStr">
        <is>
          <t>Vc2</t>
        </is>
      </c>
      <c r="D87" s="34">
        <f>0.27*($D$85*$D$80/$D$81+2)*SQRT($D$12)*$D$81*$D$80/1000</f>
        <v/>
      </c>
      <c r="E87" s="24" t="inlineStr">
        <is>
          <t>t</t>
        </is>
      </c>
      <c r="F87" s="27" t="inlineStr">
        <is>
          <t>E.060 11.12.2.1(b)</t>
        </is>
      </c>
    </row>
    <row r="88" ht="13.5" customHeight="1">
      <c r="B88" s="9" t="inlineStr">
        <is>
          <t>Vc = 1.06·√f'c·bo·d</t>
        </is>
      </c>
      <c r="C88" s="22" t="inlineStr">
        <is>
          <t>Vc3</t>
        </is>
      </c>
      <c r="D88" s="34">
        <f>1.06*SQRT($D$12)*$D$81*$D$80/1000</f>
        <v/>
      </c>
      <c r="E88" s="24" t="inlineStr">
        <is>
          <t>t</t>
        </is>
      </c>
      <c r="F88" s="27" t="inlineStr">
        <is>
          <t>E.060 11.12.2.1(c)</t>
        </is>
      </c>
    </row>
    <row r="89" ht="13.5" customHeight="1">
      <c r="B89" s="9" t="inlineStr">
        <is>
          <t>Resistencia de diseño φVc (φ = 0.85)</t>
        </is>
      </c>
      <c r="C89" s="22" t="inlineStr">
        <is>
          <t>φVc</t>
        </is>
      </c>
      <c r="D89" s="34">
        <f>0.85*MIN($D$86,$D$87,$D$88)</f>
        <v/>
      </c>
      <c r="E89" s="24" t="inlineStr">
        <is>
          <t>t</t>
        </is>
      </c>
      <c r="F89" s="27" t="inlineStr">
        <is>
          <t>Se toma el menor de los tres</t>
        </is>
      </c>
    </row>
    <row r="90" ht="13.5" customHeight="1">
      <c r="B90" s="9" t="inlineStr">
        <is>
          <t>Vu ≤ φVc</t>
        </is>
      </c>
      <c r="C90" s="29">
        <f>IF($D$83&lt;=$D$89,"CUMPLE","NO CUMPLE")</f>
        <v/>
      </c>
      <c r="D90" s="30" t="n"/>
      <c r="E90" s="30" t="n"/>
      <c r="F90" s="27" t="inlineStr">
        <is>
          <t>Si no cumple: aumente hz</t>
        </is>
      </c>
    </row>
    <row r="91">
      <c r="B91" s="4" t="inlineStr">
        <is>
          <t>Transferencia de momento por excentricidad del cortante (E.060 11.12.6 / 13.6.3)</t>
        </is>
      </c>
    </row>
    <row r="92" ht="13.5" customHeight="1">
      <c r="B92" s="9" t="inlineStr">
        <is>
          <t>Mux último máximo de las combinaciones</t>
        </is>
      </c>
      <c r="C92" s="22" t="inlineStr">
        <is>
          <t>Mux</t>
        </is>
      </c>
      <c r="D92" s="34">
        <f>MAX(ABS(1.4*$D$23+1.7*$D$24),ABS(1.25*($D$23+$D$24))+ABS($D$25),ABS(0.9*$D$23)+ABS($D$25))</f>
        <v/>
      </c>
      <c r="E92" s="24" t="inlineStr">
        <is>
          <t>t·m</t>
        </is>
      </c>
    </row>
    <row r="93" ht="13.5" customHeight="1">
      <c r="B93" s="9" t="inlineStr">
        <is>
          <t>Muy último máximo de las combinaciones</t>
        </is>
      </c>
      <c r="C93" s="22" t="inlineStr">
        <is>
          <t>Muy</t>
        </is>
      </c>
      <c r="D93" s="34">
        <f>MAX(ABS(1.4*$D$26+1.7*$D$27),ABS(1.25*($D$26+$D$27))+ABS($D$28),ABS(0.9*$D$26)+ABS($D$28))</f>
        <v/>
      </c>
      <c r="E93" s="24" t="inlineStr">
        <is>
          <t>t·m</t>
        </is>
      </c>
    </row>
    <row r="94" ht="13.5" customHeight="1">
      <c r="B94" s="9" t="inlineStr">
        <is>
          <t>γv para Mux: 1 − 1/(1 + ⅔·√(b1/b2)), b1 = cy + d</t>
        </is>
      </c>
      <c r="C94" s="22" t="inlineStr">
        <is>
          <t>γvx</t>
        </is>
      </c>
      <c r="D94" s="39">
        <f>1-1/(1+2/3*SQRT(($D$16+$D$80)/($D$15+$D$80)))</f>
        <v/>
      </c>
      <c r="E94" s="24" t="inlineStr"/>
    </row>
    <row r="95" ht="13.5" customHeight="1">
      <c r="B95" s="9" t="inlineStr">
        <is>
          <t>γv para Muy, b1 = cx + d</t>
        </is>
      </c>
      <c r="C95" s="22" t="inlineStr">
        <is>
          <t>γvy</t>
        </is>
      </c>
      <c r="D95" s="39">
        <f>1-1/(1+2/3*SQRT(($D$15+$D$80)/($D$16+$D$80)))</f>
        <v/>
      </c>
      <c r="E95" s="24" t="inlineStr"/>
    </row>
    <row r="96" ht="13.5" customHeight="1">
      <c r="B96" s="9" t="inlineStr">
        <is>
          <t>Jc para Mux = d·b1³/6 + b1·d³/6 + d·b2·b1²/2</t>
        </is>
      </c>
      <c r="C96" s="22" t="inlineStr">
        <is>
          <t>Jcx</t>
        </is>
      </c>
      <c r="D96" s="28">
        <f>$D$80*($D$16+$D$80)^3/6+($D$16+$D$80)*$D$80^3/6+$D$80*($D$15+$D$80)*($D$16+$D$80)^2/2</f>
        <v/>
      </c>
      <c r="E96" s="24" t="inlineStr">
        <is>
          <t>cm⁴</t>
        </is>
      </c>
    </row>
    <row r="97" ht="13.5" customHeight="1">
      <c r="B97" s="9" t="inlineStr">
        <is>
          <t>Jc para Muy</t>
        </is>
      </c>
      <c r="C97" s="22" t="inlineStr">
        <is>
          <t>Jcy</t>
        </is>
      </c>
      <c r="D97" s="28">
        <f>$D$80*($D$15+$D$80)^3/6+($D$15+$D$80)*$D$80^3/6+$D$80*($D$16+$D$80)*($D$15+$D$80)^2/2</f>
        <v/>
      </c>
      <c r="E97" s="24" t="inlineStr">
        <is>
          <t>cm⁴</t>
        </is>
      </c>
    </row>
    <row r="98" ht="13.5" customHeight="1">
      <c r="B98" s="9" t="inlineStr">
        <is>
          <t>Esfuerzo máximo vu = Vu/(bo·d) + γv·Mu·c/Jc</t>
        </is>
      </c>
      <c r="C98" s="22" t="inlineStr">
        <is>
          <t>vu</t>
        </is>
      </c>
      <c r="D98" s="34">
        <f>$D$83*1000/($D$81*$D$80)+$D$94*$D$92*100000*($D$16+$D$80)/2/$D$96+$D$95*$D$93*100000*($D$15+$D$80)/2/$D$97</f>
        <v/>
      </c>
      <c r="E98" s="24" t="inlineStr">
        <is>
          <t>kgf/cm²</t>
        </is>
      </c>
    </row>
    <row r="99" ht="13.5" customHeight="1">
      <c r="B99" s="9" t="inlineStr">
        <is>
          <t>Esfuerzo resistente φvc = φVc/(bo·d)</t>
        </is>
      </c>
      <c r="C99" s="22" t="inlineStr">
        <is>
          <t>φvc</t>
        </is>
      </c>
      <c r="D99" s="34">
        <f>$D$89*1000/($D$81*$D$80)</f>
        <v/>
      </c>
      <c r="E99" s="24" t="inlineStr">
        <is>
          <t>kgf/cm²</t>
        </is>
      </c>
    </row>
    <row r="100" ht="13.5" customHeight="1">
      <c r="B100" s="9" t="inlineStr">
        <is>
          <t>vu ≤ φvc (con transferencia de momento)</t>
        </is>
      </c>
      <c r="C100" s="29">
        <f>IF($D$98&lt;=$D$99,"CUMPLE","NO CUMPLE")</f>
        <v/>
      </c>
      <c r="D100" s="30" t="n"/>
      <c r="E100" s="30" t="n"/>
      <c r="F100" s="27" t="inlineStr">
        <is>
          <t>Si no cumple: aumente hz</t>
        </is>
      </c>
    </row>
    <row r="102" ht="17" customHeight="1">
      <c r="B102" s="21" t="inlineStr">
        <is>
          <t>5. VERIFICACIÓN POR CORTANTE A «d» DE LA CARA (E.060 11.3)</t>
        </is>
      </c>
    </row>
    <row r="103" ht="13.5" customHeight="1">
      <c r="B103" s="9" t="inlineStr">
        <is>
          <t>Cortante último, dirección X</t>
        </is>
      </c>
      <c r="C103" s="22" t="inlineStr">
        <is>
          <t>Vux</t>
        </is>
      </c>
      <c r="D103" s="34">
        <f>MAX(0,$D$75*$D$55*($D$56-$D$80)/100)</f>
        <v/>
      </c>
      <c r="E103" s="24" t="inlineStr">
        <is>
          <t>t</t>
        </is>
      </c>
      <c r="F103" s="27" t="inlineStr">
        <is>
          <t>Vu = qu·Ly·(mx − d)</t>
        </is>
      </c>
    </row>
    <row r="104" ht="13.5" customHeight="1">
      <c r="B104" s="9" t="inlineStr">
        <is>
          <t>φVc dirección X = 0.85·0.53·√f'c·b·d</t>
        </is>
      </c>
      <c r="C104" s="22" t="inlineStr">
        <is>
          <t>φVcx</t>
        </is>
      </c>
      <c r="D104" s="34">
        <f>0.85*0.53*SQRT($D$12)*$D$55*100*$D$80/1000</f>
        <v/>
      </c>
      <c r="E104" s="24" t="inlineStr">
        <is>
          <t>t</t>
        </is>
      </c>
      <c r="F104" s="27" t="inlineStr">
        <is>
          <t>b = Ly</t>
        </is>
      </c>
    </row>
    <row r="105" ht="13.5" customHeight="1">
      <c r="B105" s="9" t="inlineStr">
        <is>
          <t>Vux ≤ φVcx</t>
        </is>
      </c>
      <c r="C105" s="29">
        <f>IF($D$103&lt;=$D$104,"CUMPLE","NO CUMPLE")</f>
        <v/>
      </c>
      <c r="D105" s="30" t="n"/>
      <c r="E105" s="30" t="n"/>
      <c r="F105" s="27" t="inlineStr">
        <is>
          <t>Si no cumple: aumente hz</t>
        </is>
      </c>
    </row>
    <row r="106" ht="13.5" customHeight="1">
      <c r="B106" s="9" t="inlineStr">
        <is>
          <t>Cortante último, dirección Y</t>
        </is>
      </c>
      <c r="C106" s="22" t="inlineStr">
        <is>
          <t>Vuy</t>
        </is>
      </c>
      <c r="D106" s="34">
        <f>MAX(0,$D$75*$D$54*($D$57-$D$80)/100)</f>
        <v/>
      </c>
      <c r="E106" s="24" t="inlineStr">
        <is>
          <t>t</t>
        </is>
      </c>
      <c r="F106" s="27" t="inlineStr">
        <is>
          <t>Vu = qu·Lx·(my − d)</t>
        </is>
      </c>
    </row>
    <row r="107" ht="13.5" customHeight="1">
      <c r="B107" s="9" t="inlineStr">
        <is>
          <t>φVc dirección Y</t>
        </is>
      </c>
      <c r="C107" s="22" t="inlineStr">
        <is>
          <t>φVcy</t>
        </is>
      </c>
      <c r="D107" s="34">
        <f>0.85*0.53*SQRT($D$12)*$D$54*100*$D$80/1000</f>
        <v/>
      </c>
      <c r="E107" s="24" t="inlineStr">
        <is>
          <t>t</t>
        </is>
      </c>
      <c r="F107" s="27" t="inlineStr">
        <is>
          <t>b = Lx</t>
        </is>
      </c>
    </row>
    <row r="108" ht="13.5" customHeight="1">
      <c r="B108" s="9" t="inlineStr">
        <is>
          <t>Vuy ≤ φVcy</t>
        </is>
      </c>
      <c r="C108" s="29">
        <f>IF($D$106&lt;=$D$107,"CUMPLE","NO CUMPLE")</f>
        <v/>
      </c>
      <c r="D108" s="30" t="n"/>
      <c r="E108" s="30" t="n"/>
    </row>
    <row r="110" ht="17" customHeight="1">
      <c r="B110" s="21" t="inlineStr">
        <is>
          <t>6. DISEÑO POR FLEXIÓN (E.060 15.4 · φ = 0.90)</t>
        </is>
      </c>
    </row>
    <row r="111" ht="13.5" customHeight="1">
      <c r="B111" s="9" t="inlineStr">
        <is>
          <t>Factor β1</t>
        </is>
      </c>
      <c r="C111" s="22" t="inlineStr">
        <is>
          <t>β1</t>
        </is>
      </c>
      <c r="D111" s="39">
        <f>IF($D$12&lt;=280,0.85,MAX(0.65,0.85-0.05*($D$12-280)/70))</f>
        <v/>
      </c>
      <c r="E111" s="24" t="inlineStr"/>
      <c r="F111" s="27" t="inlineStr">
        <is>
          <t>E.060 10.2.7.3</t>
        </is>
      </c>
    </row>
    <row r="112" ht="13.5" customHeight="1">
      <c r="B112" s="9" t="inlineStr">
        <is>
          <t>Cuantía balanceada</t>
        </is>
      </c>
      <c r="C112" s="22" t="inlineStr">
        <is>
          <t>ρb</t>
        </is>
      </c>
      <c r="D112" s="40">
        <f>0.85*$D$111*$D$12/$D$13*6000/(6000+$D$13)</f>
        <v/>
      </c>
      <c r="E112" s="24" t="inlineStr"/>
      <c r="F112" s="27" t="inlineStr">
        <is>
          <t>Límite: ρ ≤ 0.75·ρb (E.060 10.3.4)</t>
        </is>
      </c>
    </row>
    <row r="113">
      <c r="B113" s="4" t="inlineStr">
        <is>
          <t>Refuerzo paralelo a X (se reparte en el ancho Ly)</t>
        </is>
      </c>
    </row>
    <row r="114" ht="13.5" customHeight="1">
      <c r="B114" s="9" t="inlineStr">
        <is>
          <t>Momento último en la cara de la columna</t>
        </is>
      </c>
      <c r="C114" s="22" t="inlineStr">
        <is>
          <t>Mux</t>
        </is>
      </c>
      <c r="D114" s="34">
        <f>$D$75*$D$55*($D$56/100)^2/2</f>
        <v/>
      </c>
      <c r="E114" s="24" t="inlineStr">
        <is>
          <t>t·m</t>
        </is>
      </c>
      <c r="F114" s="27" t="inlineStr">
        <is>
          <t>Mu = qu·Ly·mx²/2</t>
        </is>
      </c>
    </row>
    <row r="115" ht="13.5" customHeight="1">
      <c r="B115" s="9" t="inlineStr">
        <is>
          <t>Ancho de la sección</t>
        </is>
      </c>
      <c r="C115" s="22" t="inlineStr">
        <is>
          <t>b</t>
        </is>
      </c>
      <c r="D115" s="26">
        <f>$D$55*100</f>
        <v/>
      </c>
      <c r="E115" s="24" t="inlineStr">
        <is>
          <t>cm</t>
        </is>
      </c>
    </row>
    <row r="116" ht="13.5" customHeight="1">
      <c r="B116" s="9" t="inlineStr">
        <is>
          <t>Control de la sección (debe ser ≥ 0)</t>
        </is>
      </c>
      <c r="C116" s="22" t="inlineStr"/>
      <c r="D116" s="39">
        <f>1-2*$D$114*100000/(0.9*0.85*$D$12*$D$115*$D$80^2)</f>
        <v/>
      </c>
      <c r="E116" s="24" t="inlineStr"/>
    </row>
    <row r="117" ht="13.5" customHeight="1">
      <c r="B117" s="9" t="inlineStr">
        <is>
          <t>Sección suficiente a flexión</t>
        </is>
      </c>
      <c r="C117" s="29">
        <f>IF($D$116&gt;=0,"CUMPLE","NO CUMPLE")</f>
        <v/>
      </c>
      <c r="D117" s="30" t="n"/>
      <c r="E117" s="30" t="n"/>
      <c r="F117" s="27" t="inlineStr">
        <is>
          <t>Si no cumple: aumente hz</t>
        </is>
      </c>
    </row>
    <row r="118" ht="24" customHeight="1">
      <c r="B118" s="9" t="inlineStr">
        <is>
          <t>Acero requerido</t>
        </is>
      </c>
      <c r="C118" s="22" t="inlineStr">
        <is>
          <t>As</t>
        </is>
      </c>
      <c r="D118" s="34">
        <f>0.85*$D$12*$D$115*$D$80/$D$13*(1-SQRT(MAX(0,1-2*$D$114*100000/(0.9*0.85*$D$12*$D$115*$D$80^2))))</f>
        <v/>
      </c>
      <c r="E118" s="24" t="inlineStr">
        <is>
          <t>cm²</t>
        </is>
      </c>
      <c r="F118" s="27" t="inlineStr">
        <is>
          <t>As = 0.85f'c·b·d/fy·[1 − √(1 − 2Mu/(φ·0.85f'c·b·d²))]</t>
        </is>
      </c>
    </row>
    <row r="119" ht="13.5" customHeight="1">
      <c r="B119" s="9" t="inlineStr">
        <is>
          <t>Acero mínimo 0.0018·b·hz</t>
        </is>
      </c>
      <c r="C119" s="22" t="inlineStr">
        <is>
          <t>Asmín</t>
        </is>
      </c>
      <c r="D119" s="34">
        <f>0.0018*$D$115*$D$34</f>
        <v/>
      </c>
      <c r="E119" s="24" t="inlineStr">
        <is>
          <t>cm²</t>
        </is>
      </c>
      <c r="F119" s="27" t="inlineStr">
        <is>
          <t>E.060 10.5.4 y 9.7.2</t>
        </is>
      </c>
    </row>
    <row r="120" ht="13.5" customHeight="1">
      <c r="B120" s="9" t="inlineStr">
        <is>
          <t>Acero de diseño</t>
        </is>
      </c>
      <c r="C120" s="22" t="inlineStr">
        <is>
          <t>As</t>
        </is>
      </c>
      <c r="D120" s="34">
        <f>MAX($D$118,$D$119)</f>
        <v/>
      </c>
      <c r="E120" s="24" t="inlineStr">
        <is>
          <t>cm²</t>
        </is>
      </c>
    </row>
    <row r="121" ht="13.5" customHeight="1">
      <c r="B121" s="9" t="inlineStr">
        <is>
          <t>As ≤ 0.75·ρb·b·d (falla dúctil)</t>
        </is>
      </c>
      <c r="C121" s="29">
        <f>IF($D$118&lt;=0.75*$D$112*$D$115*$D$80,"CUMPLE","NO CUMPLE")</f>
        <v/>
      </c>
      <c r="D121" s="30" t="n"/>
      <c r="E121" s="30" t="n"/>
      <c r="F121" s="27" t="inlineStr">
        <is>
          <t>Si no cumple: aumente hz</t>
        </is>
      </c>
    </row>
    <row r="122" ht="24" customHeight="1">
      <c r="B122" s="9" t="inlineStr">
        <is>
          <t>Número mínimo de varillas</t>
        </is>
      </c>
      <c r="C122" s="22" t="inlineStr">
        <is>
          <t>n</t>
        </is>
      </c>
      <c r="D122" s="28">
        <f>MAX(CEILING($D$120/$D$79,1),CEILING(($D$115-2*$D$35-$D$78)/MIN(3*$D$34,40),1)+1)</f>
        <v/>
      </c>
      <c r="E122" s="24" t="inlineStr"/>
      <c r="F122" s="27" t="inlineStr">
        <is>
          <t>Incluye el espaciamiento máximo 3h y 40 cm (E.060 10.5.4)</t>
        </is>
      </c>
    </row>
    <row r="123" ht="13.5" customHeight="1">
      <c r="B123" s="9" t="inlineStr">
        <is>
          <t>Espaciamiento (múltiplo de 2.5 cm)</t>
        </is>
      </c>
      <c r="C123" s="22" t="inlineStr">
        <is>
          <t>s</t>
        </is>
      </c>
      <c r="D123" s="26">
        <f>FLOOR(($D$115-2*$D$35-$D$78)/($D$122-1),2.5)</f>
        <v/>
      </c>
      <c r="E123" s="24" t="inlineStr">
        <is>
          <t>cm</t>
        </is>
      </c>
    </row>
    <row r="124" ht="13.5" customHeight="1">
      <c r="B124" s="9" t="inlineStr">
        <is>
          <t>Número de varillas con ese espaciamiento</t>
        </is>
      </c>
      <c r="C124" s="22" t="inlineStr">
        <is>
          <t>n</t>
        </is>
      </c>
      <c r="D124" s="28">
        <f>CEILING(($D$115-2*$D$35-$D$78)/$D$123,1)+1</f>
        <v/>
      </c>
      <c r="E124" s="24" t="inlineStr"/>
    </row>
    <row r="125" ht="13.5" customHeight="1">
      <c r="B125" s="9" t="inlineStr">
        <is>
          <t>Acero colocado</t>
        </is>
      </c>
      <c r="C125" s="22" t="inlineStr">
        <is>
          <t>As col</t>
        </is>
      </c>
      <c r="D125" s="34">
        <f>$D$124*$D$79</f>
        <v/>
      </c>
      <c r="E125" s="24" t="inlineStr">
        <is>
          <t>cm²</t>
        </is>
      </c>
    </row>
    <row r="126" ht="24" customHeight="1">
      <c r="B126" s="9" t="inlineStr">
        <is>
          <t>Espaciamiento libre ≥ máx(db, 2.5 cm) y s ≥ 10 cm</t>
        </is>
      </c>
      <c r="C126" s="29">
        <f>IF(AND($D$123-$D$78&gt;=MAX($D$78,2.5),$D$123&gt;=10),"CUMPLE","NO CUMPLE")</f>
        <v/>
      </c>
      <c r="D126" s="30" t="n"/>
      <c r="E126" s="30" t="n"/>
      <c r="F126" s="27" t="inlineStr">
        <is>
          <t>E.060 7.6.1 y práctica constructiva; use varilla mayor</t>
        </is>
      </c>
    </row>
    <row r="127" ht="13.5" customHeight="1">
      <c r="B127" s="9" t="inlineStr">
        <is>
          <t>ARMADURA EN X</t>
        </is>
      </c>
      <c r="C127" s="22" t="inlineStr"/>
      <c r="D127" s="44">
        <f>$D$124&amp;" Ø "&amp;$D$36&amp;" @ "&amp;FIXED($D$123/100,IF(MOD(ROUND($D$123*10,0),50)=0,2,3))&amp;" m"</f>
        <v/>
      </c>
      <c r="E127" s="30" t="n"/>
      <c r="F127" s="30" t="n"/>
    </row>
    <row r="128">
      <c r="B128" s="4" t="inlineStr">
        <is>
          <t>Refuerzo paralelo a Y (se reparte en el ancho Lx)</t>
        </is>
      </c>
    </row>
    <row r="129" ht="13.5" customHeight="1">
      <c r="B129" s="9" t="inlineStr">
        <is>
          <t>Momento último en la cara de la columna</t>
        </is>
      </c>
      <c r="C129" s="22" t="inlineStr">
        <is>
          <t>Muy</t>
        </is>
      </c>
      <c r="D129" s="34">
        <f>$D$75*$D$54*($D$57/100)^2/2</f>
        <v/>
      </c>
      <c r="E129" s="24" t="inlineStr">
        <is>
          <t>t·m</t>
        </is>
      </c>
      <c r="F129" s="27" t="inlineStr">
        <is>
          <t>Mu = qu·Lx·my²/2</t>
        </is>
      </c>
    </row>
    <row r="130" ht="13.5" customHeight="1">
      <c r="B130" s="9" t="inlineStr">
        <is>
          <t>Ancho de la sección</t>
        </is>
      </c>
      <c r="C130" s="22" t="inlineStr">
        <is>
          <t>b</t>
        </is>
      </c>
      <c r="D130" s="26">
        <f>$D$54*100</f>
        <v/>
      </c>
      <c r="E130" s="24" t="inlineStr">
        <is>
          <t>cm</t>
        </is>
      </c>
    </row>
    <row r="131" ht="13.5" customHeight="1">
      <c r="B131" s="9" t="inlineStr">
        <is>
          <t>Control de la sección (debe ser ≥ 0)</t>
        </is>
      </c>
      <c r="C131" s="22" t="inlineStr"/>
      <c r="D131" s="39">
        <f>1-2*$D$129*100000/(0.9*0.85*$D$12*$D$130*$D$80^2)</f>
        <v/>
      </c>
      <c r="E131" s="24" t="inlineStr"/>
    </row>
    <row r="132" ht="13.5" customHeight="1">
      <c r="B132" s="9" t="inlineStr">
        <is>
          <t>Sección suficiente a flexión</t>
        </is>
      </c>
      <c r="C132" s="29">
        <f>IF($D$131&gt;=0,"CUMPLE","NO CUMPLE")</f>
        <v/>
      </c>
      <c r="D132" s="30" t="n"/>
      <c r="E132" s="30" t="n"/>
      <c r="F132" s="27" t="inlineStr">
        <is>
          <t>Si no cumple: aumente hz</t>
        </is>
      </c>
    </row>
    <row r="133" ht="24" customHeight="1">
      <c r="B133" s="9" t="inlineStr">
        <is>
          <t>Acero requerido</t>
        </is>
      </c>
      <c r="C133" s="22" t="inlineStr">
        <is>
          <t>As</t>
        </is>
      </c>
      <c r="D133" s="34">
        <f>0.85*$D$12*$D$130*$D$80/$D$13*(1-SQRT(MAX(0,1-2*$D$129*100000/(0.9*0.85*$D$12*$D$130*$D$80^2))))</f>
        <v/>
      </c>
      <c r="E133" s="24" t="inlineStr">
        <is>
          <t>cm²</t>
        </is>
      </c>
      <c r="F133" s="27" t="inlineStr">
        <is>
          <t>As = 0.85f'c·b·d/fy·[1 − √(1 − 2Mu/(φ·0.85f'c·b·d²))]</t>
        </is>
      </c>
    </row>
    <row r="134" ht="13.5" customHeight="1">
      <c r="B134" s="9" t="inlineStr">
        <is>
          <t>Acero mínimo 0.0018·b·hz</t>
        </is>
      </c>
      <c r="C134" s="22" t="inlineStr">
        <is>
          <t>Asmín</t>
        </is>
      </c>
      <c r="D134" s="34">
        <f>0.0018*$D$130*$D$34</f>
        <v/>
      </c>
      <c r="E134" s="24" t="inlineStr">
        <is>
          <t>cm²</t>
        </is>
      </c>
      <c r="F134" s="27" t="inlineStr">
        <is>
          <t>E.060 10.5.4 y 9.7.2</t>
        </is>
      </c>
    </row>
    <row r="135" ht="13.5" customHeight="1">
      <c r="B135" s="9" t="inlineStr">
        <is>
          <t>Acero de diseño</t>
        </is>
      </c>
      <c r="C135" s="22" t="inlineStr">
        <is>
          <t>As</t>
        </is>
      </c>
      <c r="D135" s="34">
        <f>MAX($D$133,$D$134)</f>
        <v/>
      </c>
      <c r="E135" s="24" t="inlineStr">
        <is>
          <t>cm²</t>
        </is>
      </c>
    </row>
    <row r="136" ht="13.5" customHeight="1">
      <c r="B136" s="9" t="inlineStr">
        <is>
          <t>As ≤ 0.75·ρb·b·d (falla dúctil)</t>
        </is>
      </c>
      <c r="C136" s="29">
        <f>IF($D$133&lt;=0.75*$D$112*$D$130*$D$80,"CUMPLE","NO CUMPLE")</f>
        <v/>
      </c>
      <c r="D136" s="30" t="n"/>
      <c r="E136" s="30" t="n"/>
      <c r="F136" s="27" t="inlineStr">
        <is>
          <t>Si no cumple: aumente hz</t>
        </is>
      </c>
    </row>
    <row r="137" ht="24" customHeight="1">
      <c r="B137" s="9" t="inlineStr">
        <is>
          <t>Número mínimo de varillas</t>
        </is>
      </c>
      <c r="C137" s="22" t="inlineStr">
        <is>
          <t>n</t>
        </is>
      </c>
      <c r="D137" s="28">
        <f>MAX(CEILING($D$135/$D$79,1),CEILING(($D$130-2*$D$35-$D$78)/MIN(3*$D$34,40),1)+1)</f>
        <v/>
      </c>
      <c r="E137" s="24" t="inlineStr"/>
      <c r="F137" s="27" t="inlineStr">
        <is>
          <t>Incluye el espaciamiento máximo 3h y 40 cm (E.060 10.5.4)</t>
        </is>
      </c>
    </row>
    <row r="138" ht="13.5" customHeight="1">
      <c r="B138" s="9" t="inlineStr">
        <is>
          <t>Espaciamiento (múltiplo de 2.5 cm)</t>
        </is>
      </c>
      <c r="C138" s="22" t="inlineStr">
        <is>
          <t>s</t>
        </is>
      </c>
      <c r="D138" s="26">
        <f>FLOOR(($D$130-2*$D$35-$D$78)/($D$137-1),2.5)</f>
        <v/>
      </c>
      <c r="E138" s="24" t="inlineStr">
        <is>
          <t>cm</t>
        </is>
      </c>
    </row>
    <row r="139" ht="13.5" customHeight="1">
      <c r="B139" s="9" t="inlineStr">
        <is>
          <t>Número de varillas con ese espaciamiento</t>
        </is>
      </c>
      <c r="C139" s="22" t="inlineStr">
        <is>
          <t>n</t>
        </is>
      </c>
      <c r="D139" s="28">
        <f>CEILING(($D$130-2*$D$35-$D$78)/$D$138,1)+1</f>
        <v/>
      </c>
      <c r="E139" s="24" t="inlineStr"/>
    </row>
    <row r="140" ht="13.5" customHeight="1">
      <c r="B140" s="9" t="inlineStr">
        <is>
          <t>Acero colocado</t>
        </is>
      </c>
      <c r="C140" s="22" t="inlineStr">
        <is>
          <t>As col</t>
        </is>
      </c>
      <c r="D140" s="34">
        <f>$D$139*$D$79</f>
        <v/>
      </c>
      <c r="E140" s="24" t="inlineStr">
        <is>
          <t>cm²</t>
        </is>
      </c>
    </row>
    <row r="141" ht="24" customHeight="1">
      <c r="B141" s="9" t="inlineStr">
        <is>
          <t>Espaciamiento libre ≥ máx(db, 2.5 cm) y s ≥ 10 cm</t>
        </is>
      </c>
      <c r="C141" s="29">
        <f>IF(AND($D$138-$D$78&gt;=MAX($D$78,2.5),$D$138&gt;=10),"CUMPLE","NO CUMPLE")</f>
        <v/>
      </c>
      <c r="D141" s="30" t="n"/>
      <c r="E141" s="30" t="n"/>
      <c r="F141" s="27" t="inlineStr">
        <is>
          <t>E.060 7.6.1 y práctica constructiva; use varilla mayor</t>
        </is>
      </c>
    </row>
    <row r="142" ht="13.5" customHeight="1">
      <c r="B142" s="9" t="inlineStr">
        <is>
          <t>ARMADURA EN Y</t>
        </is>
      </c>
      <c r="C142" s="22" t="inlineStr"/>
      <c r="D142" s="44">
        <f>$D$139&amp;" Ø "&amp;$D$36&amp;" @ "&amp;FIXED($D$138/100,IF(MOD(ROUND($D$138*10,0),50)=0,2,3))&amp;" m"</f>
        <v/>
      </c>
      <c r="E142" s="30" t="n"/>
      <c r="F142" s="30" t="n"/>
    </row>
    <row r="143">
      <c r="B143" s="4" t="inlineStr">
        <is>
          <t>Zapata rectangular: franja central del refuerzo corto (E.060 15.4.4.2)</t>
        </is>
      </c>
    </row>
    <row r="144" ht="13.5" customHeight="1">
      <c r="B144" s="9" t="inlineStr">
        <is>
          <t>Relación lado largo / lado corto</t>
        </is>
      </c>
      <c r="C144" s="22" t="inlineStr">
        <is>
          <t>β</t>
        </is>
      </c>
      <c r="D144" s="39">
        <f>MAX($D$54,$D$55)/MIN($D$54,$D$55)</f>
        <v/>
      </c>
      <c r="E144" s="24" t="inlineStr"/>
    </row>
    <row r="145" ht="13.5" customHeight="1">
      <c r="B145" s="9" t="inlineStr">
        <is>
          <t>Fracción en la franja central γs = 2/(β + 1)</t>
        </is>
      </c>
      <c r="C145" s="22" t="inlineStr">
        <is>
          <t>γs</t>
        </is>
      </c>
      <c r="D145" s="39">
        <f>2/($D$144+1)</f>
        <v/>
      </c>
      <c r="E145" s="24" t="inlineStr"/>
      <c r="F145" s="27" t="inlineStr">
        <is>
          <t>Franja de ancho igual al lado corto</t>
        </is>
      </c>
    </row>
    <row r="146" ht="13.5" customHeight="1">
      <c r="B146" s="9" t="inlineStr">
        <is>
          <t>Varillas del refuerzo corto (total)</t>
        </is>
      </c>
      <c r="C146" s="22" t="inlineStr">
        <is>
          <t>n</t>
        </is>
      </c>
      <c r="D146" s="28">
        <f>IF($D$54&gt;=$D$55,$D$139,$D$124)</f>
        <v/>
      </c>
      <c r="E146" s="24" t="inlineStr"/>
      <c r="F146" s="27" t="inlineStr">
        <is>
          <t>Varillas paralelas al lado corto</t>
        </is>
      </c>
    </row>
    <row r="147" ht="13.5" customHeight="1">
      <c r="B147" s="9" t="inlineStr">
        <is>
          <t>Varillas en la franja central</t>
        </is>
      </c>
      <c r="C147" s="22" t="inlineStr">
        <is>
          <t>nf</t>
        </is>
      </c>
      <c r="D147" s="28">
        <f>IF($D$144&lt;=1.0001,$D$146,MAX(CEILING($D$145*$D$146,1),CEILING(MIN($D$54,$D$55)*100/MIN(3*$D$34,40),1)))</f>
        <v/>
      </c>
      <c r="E147" s="24" t="inlineStr"/>
    </row>
    <row r="148" ht="13.5" customHeight="1">
      <c r="B148" s="9" t="inlineStr">
        <is>
          <t>Espaciamiento en la franja central</t>
        </is>
      </c>
      <c r="C148" s="22" t="inlineStr">
        <is>
          <t>sf</t>
        </is>
      </c>
      <c r="D148" s="26">
        <f>FLOOR(MIN($D$54,$D$55)*100/$D$147,2.5)</f>
        <v/>
      </c>
      <c r="E148" s="24" t="inlineStr">
        <is>
          <t>cm</t>
        </is>
      </c>
    </row>
    <row r="149" ht="13.5" customHeight="1">
      <c r="B149" s="9" t="inlineStr">
        <is>
          <t>Varillas restantes a cada lado</t>
        </is>
      </c>
      <c r="C149" s="22" t="inlineStr">
        <is>
          <t>nr</t>
        </is>
      </c>
      <c r="D149" s="28">
        <f>IF($D$144&lt;=1.0001,0,MAX(CEILING(($D$146-$D$147)/2,1),CEILING((MAX($D$54,$D$55)-MIN($D$54,$D$55))/2*100/MIN(3*$D$34,40),1)))</f>
        <v/>
      </c>
      <c r="E149" s="24" t="inlineStr"/>
    </row>
    <row r="150" ht="13.5" customHeight="1">
      <c r="B150" s="9" t="inlineStr">
        <is>
          <t>DISTRIBUCIÓN DEL REFUERZO CORTO</t>
        </is>
      </c>
      <c r="C150" s="22" t="inlineStr"/>
      <c r="D150" s="44">
        <f>IF($D$144&lt;=1.0001,"Zapata cuadrada: reparto uniforme",$D$147&amp;" Ø "&amp;$D$36&amp;" @ "&amp;FIXED($D$148/100,IF(MOD(ROUND($D$148*10,0),50)=0,2,3))&amp;" m en la franja central + "&amp;$D$149&amp;" Ø a cada lado")</f>
        <v/>
      </c>
      <c r="E150" s="30" t="n"/>
      <c r="F150" s="30" t="n"/>
    </row>
    <row r="152" ht="17" customHeight="1">
      <c r="B152" s="21" t="inlineStr">
        <is>
          <t>7. LONGITUD DE DESARROLLO (E.060 12.2 y 12.3)</t>
        </is>
      </c>
    </row>
    <row r="153" ht="24" customHeight="1">
      <c r="B153" s="9" t="inlineStr">
        <is>
          <t>ld en tracción de la parrilla</t>
        </is>
      </c>
      <c r="C153" s="22" t="inlineStr">
        <is>
          <t>ld</t>
        </is>
      </c>
      <c r="D153" s="26">
        <f>MAX(30,$D$13*$D$78/(IF($D$78&lt;=1.905,8.2,6.6)*SQRT($D$12)))</f>
        <v/>
      </c>
      <c r="E153" s="24" t="inlineStr">
        <is>
          <t>cm</t>
        </is>
      </c>
      <c r="F153" s="27" t="inlineStr">
        <is>
          <t>E.060 Tabla 12.1: ld = fy·db/(8.2√f'c) Ø ≤ 3/4"; /(6.6√f'c) mayores; ≥ 30 cm</t>
        </is>
      </c>
    </row>
    <row r="154" ht="13.5" customHeight="1">
      <c r="B154" s="9" t="inlineStr">
        <is>
          <t>Longitud disponible (volado menor − r)</t>
        </is>
      </c>
      <c r="C154" s="22" t="inlineStr">
        <is>
          <t>ldisp</t>
        </is>
      </c>
      <c r="D154" s="26">
        <f>MIN($D$56,$D$57)-$D$35</f>
        <v/>
      </c>
      <c r="E154" s="24" t="inlineStr">
        <is>
          <t>cm</t>
        </is>
      </c>
    </row>
    <row r="155" ht="24" customHeight="1">
      <c r="B155" s="9" t="inlineStr">
        <is>
          <t>ld ≤ longitud disponible</t>
        </is>
      </c>
      <c r="C155" s="29">
        <f>IF($D$153&lt;=$D$154,"CUMPLE","NO CUMPLE: usar gancho")</f>
        <v/>
      </c>
      <c r="D155" s="30" t="n"/>
      <c r="E155" s="30" t="n"/>
      <c r="F155" s="27" t="inlineStr">
        <is>
          <t>Si no cumple: termine la parrilla con gancho estándar</t>
        </is>
      </c>
    </row>
    <row r="156" ht="13.5" customHeight="1">
      <c r="B156" s="9" t="inlineStr">
        <is>
          <t>Diámetro de la varilla de la columna</t>
        </is>
      </c>
      <c r="C156" s="22" t="inlineStr">
        <is>
          <t>db</t>
        </is>
      </c>
      <c r="D156" s="39">
        <f>INDEX(BAR_DB,MATCH($D$17,BAR_NOM,0))</f>
        <v/>
      </c>
      <c r="E156" s="24" t="inlineStr">
        <is>
          <t>cm</t>
        </is>
      </c>
    </row>
    <row r="157" ht="13.5" customHeight="1">
      <c r="B157" s="9" t="inlineStr">
        <is>
          <t>ld en compresión de la columna</t>
        </is>
      </c>
      <c r="C157" s="22" t="inlineStr">
        <is>
          <t>ldc</t>
        </is>
      </c>
      <c r="D157" s="26">
        <f>MAX(20,0.075*$D$13*$D$156/SQRT($D$12),0.0042*$D$13*$D$156)</f>
        <v/>
      </c>
      <c r="E157" s="24" t="inlineStr">
        <is>
          <t>cm</t>
        </is>
      </c>
      <c r="F157" s="27" t="inlineStr">
        <is>
          <t>ldc = 0.075·fy·db/√f'c ≥ 0.0042·fy·db ≥ 20 cm</t>
        </is>
      </c>
    </row>
    <row r="158" ht="13.5" customHeight="1">
      <c r="B158" s="9" t="inlineStr">
        <is>
          <t>ldc ≤ d y d ≥ 15 cm (anclaje de la columna)</t>
        </is>
      </c>
      <c r="C158" s="29">
        <f>IF(AND($D$157&lt;=$D$80,$D$80&gt;=15),"CUMPLE","NO CUMPLE")</f>
        <v/>
      </c>
      <c r="D158" s="30" t="n"/>
      <c r="E158" s="30" t="n"/>
      <c r="F158" s="27" t="inlineStr">
        <is>
          <t>E.060 15.7; si no cumple: aumente hz</t>
        </is>
      </c>
    </row>
    <row r="160" ht="17" customHeight="1">
      <c r="B160" s="21" t="inlineStr">
        <is>
          <t>8. TRANSFERENCIA DE CARGA · APLASTAMIENTO (E.060 10.17 · φ = 0.70)</t>
        </is>
      </c>
    </row>
    <row r="161" ht="13.5" customHeight="1">
      <c r="B161" s="9" t="inlineStr">
        <is>
          <t>Área cargada (columna)</t>
        </is>
      </c>
      <c r="C161" s="22" t="inlineStr">
        <is>
          <t>A1</t>
        </is>
      </c>
      <c r="D161" s="28">
        <f>$D$15*$D$16</f>
        <v/>
      </c>
      <c r="E161" s="24" t="inlineStr">
        <is>
          <t>cm²</t>
        </is>
      </c>
    </row>
    <row r="162" ht="24" customHeight="1">
      <c r="B162" s="9" t="inlineStr">
        <is>
          <t>√(A2/A1) ≤ 2</t>
        </is>
      </c>
      <c r="C162" s="22" t="inlineStr">
        <is>
          <t>√(A2/A1)</t>
        </is>
      </c>
      <c r="D162" s="34">
        <f>MIN(2,$D$54*100/$D$15,$D$55*100/$D$16)</f>
        <v/>
      </c>
      <c r="E162" s="24" t="inlineStr"/>
      <c r="F162" s="27" t="inlineStr">
        <is>
          <t>A2: base de la pirámide con pendiente 1:2 dentro de la zapata</t>
        </is>
      </c>
    </row>
    <row r="163" ht="13.5" customHeight="1">
      <c r="B163" s="9" t="inlineStr">
        <is>
          <t>Resistencia en la columna φ·0.85·f'c·A1</t>
        </is>
      </c>
      <c r="C163" s="22" t="inlineStr">
        <is>
          <t>φPn</t>
        </is>
      </c>
      <c r="D163" s="34">
        <f>0.7*0.85*$D$12*$D$161/1000</f>
        <v/>
      </c>
      <c r="E163" s="24" t="inlineStr">
        <is>
          <t>t</t>
        </is>
      </c>
    </row>
    <row r="164" ht="13.5" customHeight="1">
      <c r="B164" s="9" t="inlineStr">
        <is>
          <t>Pu ≤ φPn (columna)</t>
        </is>
      </c>
      <c r="C164" s="29">
        <f>IF($D$71&lt;=$D$163,"CUMPLE","NO CUMPLE")</f>
        <v/>
      </c>
      <c r="D164" s="30" t="n"/>
      <c r="E164" s="30" t="n"/>
      <c r="F164" s="27" t="inlineStr">
        <is>
          <t>Si no cumple: dowels adicionales (E.060 15.8)</t>
        </is>
      </c>
    </row>
    <row r="165" ht="13.5" customHeight="1">
      <c r="B165" s="9" t="inlineStr">
        <is>
          <t>Resistencia en la zapata φ·0.85·f'c·A1·√(A2/A1)</t>
        </is>
      </c>
      <c r="C165" s="22" t="inlineStr">
        <is>
          <t>φPn</t>
        </is>
      </c>
      <c r="D165" s="34">
        <f>0.7*0.85*$D$12*$D$161*$D$162/1000</f>
        <v/>
      </c>
      <c r="E165" s="24" t="inlineStr">
        <is>
          <t>t</t>
        </is>
      </c>
    </row>
    <row r="166" ht="13.5" customHeight="1">
      <c r="B166" s="9" t="inlineStr">
        <is>
          <t>Pu ≤ φPn (zapata)</t>
        </is>
      </c>
      <c r="C166" s="29">
        <f>IF($D$71&lt;=$D$165,"CUMPLE","NO CUMPLE")</f>
        <v/>
      </c>
      <c r="D166" s="30" t="n"/>
      <c r="E166" s="30" t="n"/>
    </row>
    <row r="168" ht="17" customHeight="1">
      <c r="B168" s="21" t="inlineStr">
        <is>
          <t>9. RESUMEN</t>
        </is>
      </c>
    </row>
    <row r="169" ht="13.5" customHeight="1">
      <c r="B169" s="9" t="inlineStr">
        <is>
          <t>Dimensiones de la zapata (Lx × Ly × hz)</t>
        </is>
      </c>
      <c r="C169" s="22" t="inlineStr"/>
      <c r="D169" s="44">
        <f>FIXED($D$54,2)&amp;" × "&amp;FIXED($D$55,2)&amp;" × "&amp;FIXED($D$34/100,2)&amp;" m"</f>
        <v/>
      </c>
      <c r="E169" s="30" t="n"/>
      <c r="F169" s="30" t="n"/>
    </row>
    <row r="170" ht="13.5" customHeight="1">
      <c r="B170" s="9" t="inlineStr">
        <is>
          <t>Refuerzo paralelo a X</t>
        </is>
      </c>
      <c r="C170" s="22" t="inlineStr"/>
      <c r="D170" s="44">
        <f>$D$127</f>
        <v/>
      </c>
      <c r="E170" s="30" t="n"/>
      <c r="F170" s="27" t="inlineStr">
        <is>
          <t>Capa inferior</t>
        </is>
      </c>
    </row>
    <row r="171" ht="13.5" customHeight="1">
      <c r="B171" s="9" t="inlineStr">
        <is>
          <t>Refuerzo paralelo a Y</t>
        </is>
      </c>
      <c r="C171" s="22" t="inlineStr"/>
      <c r="D171" s="44">
        <f>$D$142</f>
        <v/>
      </c>
      <c r="E171" s="30" t="n"/>
      <c r="F171" s="27" t="inlineStr">
        <is>
          <t>Capa inferior</t>
        </is>
      </c>
    </row>
    <row r="172" ht="13.5" customHeight="1">
      <c r="B172" s="9" t="inlineStr">
        <is>
          <t>Refuerzo corto (zapata rectangular)</t>
        </is>
      </c>
      <c r="C172" s="22" t="inlineStr"/>
      <c r="D172" s="44">
        <f>$D$150</f>
        <v/>
      </c>
      <c r="E172" s="30" t="n"/>
      <c r="F172" s="30" t="n"/>
    </row>
    <row r="173" ht="13.5" customHeight="1">
      <c r="B173" s="9" t="inlineStr">
        <is>
          <t>ESTADO GENERAL DEL DISEÑO</t>
        </is>
      </c>
      <c r="C173" s="29">
        <f>IF(AND($C$42="CUMPLE",$C$59="CUMPLE",$C$61="CUMPLE",$C$63="CUMPLE",$C$90="CUMPLE",$C$100="CUMPLE",$C$105="CUMPLE",$C$108="CUMPLE",$C$117="CUMPLE",$C$132="CUMPLE",$C$121="CUMPLE",$C$136="CUMPLE",$C$126="CUMPLE",$C$141="CUMPLE",$C$158="CUMPLE",$C$164="CUMPLE",$C$166="CUMPLE"),"CUMPLE","NO CUMPLE")</f>
        <v/>
      </c>
      <c r="D173" s="30" t="n"/>
      <c r="E173" s="30" t="n"/>
      <c r="F173" s="27" t="inlineStr">
        <is>
          <t>Revise las líneas en rojo</t>
        </is>
      </c>
    </row>
    <row r="176" ht="17" customHeight="1">
      <c r="B176" s="21" t="inlineStr">
        <is>
          <t>10. CROQUIS EN PLANTA (se actualiza con los datos)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4">
    <mergeCell ref="C117:E117"/>
    <mergeCell ref="C173:E173"/>
    <mergeCell ref="D150:F150"/>
    <mergeCell ref="C164:E164"/>
    <mergeCell ref="C7:F7"/>
    <mergeCell ref="C90:E90"/>
    <mergeCell ref="C59:E59"/>
    <mergeCell ref="C105:E105"/>
    <mergeCell ref="C121:E121"/>
    <mergeCell ref="B102:F102"/>
    <mergeCell ref="B176:F176"/>
    <mergeCell ref="B77:F77"/>
    <mergeCell ref="C3:F3"/>
    <mergeCell ref="B152:F152"/>
    <mergeCell ref="C132:E132"/>
    <mergeCell ref="B2:F2"/>
    <mergeCell ref="D170:E170"/>
    <mergeCell ref="C61:E61"/>
    <mergeCell ref="C6:F6"/>
    <mergeCell ref="B67:F67"/>
    <mergeCell ref="D127:F127"/>
    <mergeCell ref="B1:F1"/>
    <mergeCell ref="C5:F5"/>
    <mergeCell ref="C158:E158"/>
    <mergeCell ref="D142:F142"/>
    <mergeCell ref="D169:F169"/>
    <mergeCell ref="D171:E171"/>
    <mergeCell ref="C4:F4"/>
    <mergeCell ref="B10:F10"/>
    <mergeCell ref="C155:E155"/>
    <mergeCell ref="C136:E136"/>
    <mergeCell ref="B168:F168"/>
    <mergeCell ref="B40:F40"/>
    <mergeCell ref="C108:E108"/>
    <mergeCell ref="C166:E166"/>
    <mergeCell ref="D172:F172"/>
    <mergeCell ref="C42:E42"/>
    <mergeCell ref="C63:E63"/>
    <mergeCell ref="C126:E126"/>
    <mergeCell ref="C141:E141"/>
    <mergeCell ref="B160:F160"/>
    <mergeCell ref="C100:E100"/>
    <mergeCell ref="B110:F110"/>
    <mergeCell ref="C65:E65"/>
  </mergeCells>
  <conditionalFormatting sqref="B1:F198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1">
    <dataValidation sqref="D17 D36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175" min="0" max="16383" man="1"/>
  </rowBreaks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I87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8" max="8"/>
    <col hidden="1" width="13" customWidth="1" min="9" max="9"/>
  </cols>
  <sheetData>
    <row r="1" ht="24" customHeight="1">
      <c r="B1" s="14" t="inlineStr">
        <is>
          <t>ZAPATA CONECTADA CON VIGA DE CONEXIÓN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Z-2 (columna de lindero C-2) conectada a Z-3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H7" s="45">
        <f>0</f>
        <v/>
      </c>
      <c r="I7" s="45">
        <f>-$D$41/2</f>
        <v/>
      </c>
    </row>
    <row r="8">
      <c r="H8" s="45">
        <f>$D$26</f>
        <v/>
      </c>
      <c r="I8" s="45">
        <f>-$D$41/2</f>
        <v/>
      </c>
    </row>
    <row r="9">
      <c r="H9" s="45">
        <f>$D$26</f>
        <v/>
      </c>
      <c r="I9" s="45">
        <f>$D$41/2</f>
        <v/>
      </c>
    </row>
    <row r="10" ht="17" customHeight="1">
      <c r="B10" s="21" t="inlineStr">
        <is>
          <t>1. DATOS DE ENTRADA</t>
        </is>
      </c>
      <c r="H10" s="45">
        <f>0</f>
        <v/>
      </c>
      <c r="I10" s="45">
        <f>$D$41/2</f>
        <v/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H11" s="45">
        <f>0</f>
        <v/>
      </c>
      <c r="I11" s="45">
        <f>-$D$41/2</f>
        <v/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  <c r="H12" s="45" t="n"/>
      <c r="I12" s="45" t="n"/>
    </row>
    <row r="13" ht="13.5" customHeight="1">
      <c r="B13" s="9" t="inlineStr">
        <is>
          <t>Capacidad portante admisible</t>
        </is>
      </c>
      <c r="C13" s="22" t="inlineStr">
        <is>
          <t>qadm</t>
        </is>
      </c>
      <c r="D13" s="25" t="n">
        <v>1.5</v>
      </c>
      <c r="E13" s="24" t="inlineStr">
        <is>
          <t>kgf/cm²</t>
        </is>
      </c>
      <c r="H13" s="45">
        <f>0</f>
        <v/>
      </c>
      <c r="I13" s="45">
        <f>-$D$21/200</f>
        <v/>
      </c>
    </row>
    <row r="14" ht="13.5" customHeight="1">
      <c r="B14" s="9" t="inlineStr">
        <is>
          <t>Profundidad de desplante</t>
        </is>
      </c>
      <c r="C14" s="22" t="inlineStr">
        <is>
          <t>Df</t>
        </is>
      </c>
      <c r="D14" s="25" t="n">
        <v>1.5</v>
      </c>
      <c r="E14" s="24" t="inlineStr">
        <is>
          <t>m</t>
        </is>
      </c>
      <c r="H14" s="45">
        <f>$D$20/100</f>
        <v/>
      </c>
      <c r="I14" s="45">
        <f>-$D$21/200</f>
        <v/>
      </c>
    </row>
    <row r="15" ht="13.5" customHeight="1">
      <c r="B15" s="9" t="inlineStr">
        <is>
          <t>Peso unitario promedio suelo + concreto</t>
        </is>
      </c>
      <c r="C15" s="22" t="inlineStr">
        <is>
          <t>γm</t>
        </is>
      </c>
      <c r="D15" s="25" t="n">
        <v>2</v>
      </c>
      <c r="E15" s="24" t="inlineStr">
        <is>
          <t>t/m³</t>
        </is>
      </c>
      <c r="H15" s="45">
        <f>$D$20/100</f>
        <v/>
      </c>
      <c r="I15" s="45">
        <f>$D$21/200</f>
        <v/>
      </c>
    </row>
    <row r="16" ht="13.5" customHeight="1">
      <c r="B16" s="9" t="inlineStr">
        <is>
          <t>Sobrecarga sobre el piso</t>
        </is>
      </c>
      <c r="C16" s="22" t="inlineStr">
        <is>
          <t>s/c</t>
        </is>
      </c>
      <c r="D16" s="25" t="n">
        <v>0.25</v>
      </c>
      <c r="E16" s="24" t="inlineStr">
        <is>
          <t>t/m²</t>
        </is>
      </c>
      <c r="H16" s="45">
        <f>0</f>
        <v/>
      </c>
      <c r="I16" s="45">
        <f>$D$21/200</f>
        <v/>
      </c>
    </row>
    <row r="17">
      <c r="B17" s="4" t="inlineStr">
        <is>
          <t>Columna exterior (en el lindero) y columna interior</t>
        </is>
      </c>
      <c r="H17" s="45">
        <f>0</f>
        <v/>
      </c>
      <c r="I17" s="45">
        <f>-$D$21/200</f>
        <v/>
      </c>
    </row>
    <row r="18" ht="13.5" customHeight="1">
      <c r="B18" s="9" t="inlineStr">
        <is>
          <t>Columna exterior: carga muerta</t>
        </is>
      </c>
      <c r="C18" s="22" t="inlineStr">
        <is>
          <t>P1D</t>
        </is>
      </c>
      <c r="D18" s="25" t="n">
        <v>40</v>
      </c>
      <c r="E18" s="24" t="inlineStr">
        <is>
          <t>t</t>
        </is>
      </c>
      <c r="H18" s="45" t="n"/>
      <c r="I18" s="45" t="n"/>
    </row>
    <row r="19" ht="13.5" customHeight="1">
      <c r="B19" s="9" t="inlineStr">
        <is>
          <t>Columna exterior: carga viva</t>
        </is>
      </c>
      <c r="C19" s="22" t="inlineStr">
        <is>
          <t>P1L</t>
        </is>
      </c>
      <c r="D19" s="25" t="n">
        <v>15</v>
      </c>
      <c r="E19" s="24" t="inlineStr">
        <is>
          <t>t</t>
        </is>
      </c>
      <c r="H19" s="45">
        <f>$D$20/200+$D$24-$D$45/2</f>
        <v/>
      </c>
      <c r="I19" s="45">
        <f>-$D$45/2</f>
        <v/>
      </c>
    </row>
    <row r="20" ht="24" customHeight="1">
      <c r="B20" s="9" t="inlineStr">
        <is>
          <t>Columna exterior: lado en la dirección de la viga</t>
        </is>
      </c>
      <c r="C20" s="22" t="inlineStr">
        <is>
          <t>c1</t>
        </is>
      </c>
      <c r="D20" s="35" t="n">
        <v>40</v>
      </c>
      <c r="E20" s="24" t="inlineStr">
        <is>
          <t>cm</t>
        </is>
      </c>
      <c r="F20" s="27" t="inlineStr">
        <is>
          <t>Su cara exterior coincide con el lindero</t>
        </is>
      </c>
      <c r="H20" s="45">
        <f>$D$20/200+$D$24+$D$45/2</f>
        <v/>
      </c>
      <c r="I20" s="45">
        <f>-$D$45/2</f>
        <v/>
      </c>
    </row>
    <row r="21" ht="13.5" customHeight="1">
      <c r="B21" s="9" t="inlineStr">
        <is>
          <t>Columna exterior: lado perpendicular</t>
        </is>
      </c>
      <c r="C21" s="22" t="inlineStr">
        <is>
          <t>t1</t>
        </is>
      </c>
      <c r="D21" s="35" t="n">
        <v>40</v>
      </c>
      <c r="E21" s="24" t="inlineStr">
        <is>
          <t>cm</t>
        </is>
      </c>
      <c r="H21" s="45">
        <f>$D$20/200+$D$24+$D$45/2</f>
        <v/>
      </c>
      <c r="I21" s="45">
        <f>$D$45/2</f>
        <v/>
      </c>
    </row>
    <row r="22" ht="13.5" customHeight="1">
      <c r="B22" s="9" t="inlineStr">
        <is>
          <t>Columna interior: carga muerta</t>
        </is>
      </c>
      <c r="C22" s="22" t="inlineStr">
        <is>
          <t>P2D</t>
        </is>
      </c>
      <c r="D22" s="25" t="n">
        <v>70</v>
      </c>
      <c r="E22" s="24" t="inlineStr">
        <is>
          <t>t</t>
        </is>
      </c>
      <c r="H22" s="45">
        <f>$D$20/200+$D$24-$D$45/2</f>
        <v/>
      </c>
      <c r="I22" s="45">
        <f>$D$45/2</f>
        <v/>
      </c>
    </row>
    <row r="23" ht="13.5" customHeight="1">
      <c r="B23" s="9" t="inlineStr">
        <is>
          <t>Columna interior: carga viva</t>
        </is>
      </c>
      <c r="C23" s="22" t="inlineStr">
        <is>
          <t>P2L</t>
        </is>
      </c>
      <c r="D23" s="25" t="n">
        <v>25</v>
      </c>
      <c r="E23" s="24" t="inlineStr">
        <is>
          <t>t</t>
        </is>
      </c>
      <c r="H23" s="45">
        <f>$D$20/200+$D$24-$D$45/2</f>
        <v/>
      </c>
      <c r="I23" s="45">
        <f>-$D$45/2</f>
        <v/>
      </c>
    </row>
    <row r="24" ht="13.5" customHeight="1">
      <c r="B24" s="9" t="inlineStr">
        <is>
          <t>Distancia entre ejes de columnas</t>
        </is>
      </c>
      <c r="C24" s="22" t="inlineStr">
        <is>
          <t>L</t>
        </is>
      </c>
      <c r="D24" s="25" t="n">
        <v>5.5</v>
      </c>
      <c r="E24" s="24" t="inlineStr">
        <is>
          <t>m</t>
        </is>
      </c>
      <c r="H24" s="45" t="n"/>
      <c r="I24" s="45" t="n"/>
    </row>
    <row r="25">
      <c r="B25" s="4" t="inlineStr">
        <is>
          <t>Geometría adoptada</t>
        </is>
      </c>
      <c r="H25" s="45">
        <f>$D$20/200</f>
        <v/>
      </c>
      <c r="I25" s="45">
        <f>-$D$28/200</f>
        <v/>
      </c>
    </row>
    <row r="26" ht="13.5" customHeight="1">
      <c r="B26" s="9" t="inlineStr">
        <is>
          <t>Zapata exterior: lado en la dirección de la viga</t>
        </is>
      </c>
      <c r="C26" s="22" t="inlineStr">
        <is>
          <t>T1</t>
        </is>
      </c>
      <c r="D26" s="25" t="n">
        <v>1.4</v>
      </c>
      <c r="E26" s="24" t="inlineStr">
        <is>
          <t>m</t>
        </is>
      </c>
      <c r="F26" s="27" t="inlineStr">
        <is>
          <t>Usual T1 ≈ B1/2 (ver sugerido)</t>
        </is>
      </c>
      <c r="H26" s="45">
        <f>$D$20/200+$D$24</f>
        <v/>
      </c>
      <c r="I26" s="45">
        <f>-$D$28/200</f>
        <v/>
      </c>
    </row>
    <row r="27" ht="13.5" customHeight="1">
      <c r="B27" s="9" t="inlineStr">
        <is>
          <t>Peralte de la zapata exterior</t>
        </is>
      </c>
      <c r="C27" s="22" t="inlineStr">
        <is>
          <t>hz</t>
        </is>
      </c>
      <c r="D27" s="35" t="n">
        <v>60</v>
      </c>
      <c r="E27" s="24" t="inlineStr">
        <is>
          <t>cm</t>
        </is>
      </c>
      <c r="H27" s="45">
        <f>$D$20/200+$D$24</f>
        <v/>
      </c>
      <c r="I27" s="45">
        <f>$D$28/200</f>
        <v/>
      </c>
    </row>
    <row r="28" ht="13.5" customHeight="1">
      <c r="B28" s="9" t="inlineStr">
        <is>
          <t>Viga de conexión: ancho</t>
        </is>
      </c>
      <c r="C28" s="22" t="inlineStr">
        <is>
          <t>bv</t>
        </is>
      </c>
      <c r="D28" s="35" t="n">
        <v>40</v>
      </c>
      <c r="E28" s="24" t="inlineStr">
        <is>
          <t>cm</t>
        </is>
      </c>
      <c r="H28" s="45">
        <f>$D$20/200</f>
        <v/>
      </c>
      <c r="I28" s="45">
        <f>$D$28/200</f>
        <v/>
      </c>
    </row>
    <row r="29" ht="13.5" customHeight="1">
      <c r="B29" s="9" t="inlineStr">
        <is>
          <t>Viga de conexión: peralte</t>
        </is>
      </c>
      <c r="C29" s="22" t="inlineStr">
        <is>
          <t>hv</t>
        </is>
      </c>
      <c r="D29" s="35" t="n">
        <v>80</v>
      </c>
      <c r="E29" s="24" t="inlineStr">
        <is>
          <t>cm</t>
        </is>
      </c>
      <c r="F29" s="27" t="inlineStr">
        <is>
          <t>Usual L/7 a L/8</t>
        </is>
      </c>
      <c r="H29" s="45">
        <f>$D$20/200</f>
        <v/>
      </c>
      <c r="I29" s="45">
        <f>-$D$28/200</f>
        <v/>
      </c>
    </row>
    <row r="30" ht="13.5" customHeight="1">
      <c r="B30" s="9" t="inlineStr">
        <is>
          <t>Varilla de la zapata</t>
        </is>
      </c>
      <c r="C30" s="22" t="inlineStr">
        <is>
          <t>Øz</t>
        </is>
      </c>
      <c r="D30" s="31" t="inlineStr">
        <is>
          <t>5/8"</t>
        </is>
      </c>
      <c r="E30" s="24" t="inlineStr"/>
      <c r="H30" s="45" t="n"/>
      <c r="I30" s="45" t="n"/>
    </row>
    <row r="31" ht="13.5" customHeight="1">
      <c r="B31" s="9" t="inlineStr">
        <is>
          <t>Varilla de la viga</t>
        </is>
      </c>
      <c r="C31" s="22" t="inlineStr">
        <is>
          <t>Øv</t>
        </is>
      </c>
      <c r="D31" s="31" t="inlineStr">
        <is>
          <t>3/4"</t>
        </is>
      </c>
      <c r="E31" s="24" t="inlineStr"/>
      <c r="H31" s="45" t="n"/>
      <c r="I31" s="45" t="n"/>
    </row>
    <row r="32" ht="13.5" customHeight="1">
      <c r="B32" s="9" t="inlineStr">
        <is>
          <t>Estribo de la viga</t>
        </is>
      </c>
      <c r="C32" s="22" t="inlineStr">
        <is>
          <t>Øe</t>
        </is>
      </c>
      <c r="D32" s="31" t="inlineStr">
        <is>
          <t>3/8"</t>
        </is>
      </c>
      <c r="E32" s="24" t="inlineStr"/>
    </row>
    <row r="34" ht="17" customHeight="1">
      <c r="B34" s="21" t="inlineStr">
        <is>
          <t>2. DIMENSIONAMIENTO (servicio)</t>
        </is>
      </c>
    </row>
    <row r="35" ht="13.5" customHeight="1">
      <c r="B35" s="9" t="inlineStr">
        <is>
          <t>Capacidad neta qn = qadm − γm·Df − s/c</t>
        </is>
      </c>
      <c r="C35" s="22" t="inlineStr">
        <is>
          <t>qn</t>
        </is>
      </c>
      <c r="D35" s="34">
        <f>$D$13*10-$D$15*$D$14-$D$16</f>
        <v/>
      </c>
      <c r="E35" s="24" t="inlineStr">
        <is>
          <t>t/m²</t>
        </is>
      </c>
    </row>
    <row r="36" ht="13.5" customHeight="1">
      <c r="B36" s="9" t="inlineStr">
        <is>
          <t>Carga de servicio exterior</t>
        </is>
      </c>
      <c r="C36" s="22" t="inlineStr">
        <is>
          <t>P1</t>
        </is>
      </c>
      <c r="D36" s="34">
        <f>$D$18+$D$19</f>
        <v/>
      </c>
      <c r="E36" s="24" t="inlineStr">
        <is>
          <t>t</t>
        </is>
      </c>
    </row>
    <row r="37" ht="13.5" customHeight="1">
      <c r="B37" s="9" t="inlineStr">
        <is>
          <t>Carga de servicio interior</t>
        </is>
      </c>
      <c r="C37" s="22" t="inlineStr">
        <is>
          <t>P2</t>
        </is>
      </c>
      <c r="D37" s="34">
        <f>$D$22+$D$23</f>
        <v/>
      </c>
      <c r="E37" s="24" t="inlineStr">
        <is>
          <t>t</t>
        </is>
      </c>
    </row>
    <row r="38" ht="13.5" customHeight="1">
      <c r="B38" s="9" t="inlineStr">
        <is>
          <t>T1 sugerido ≈ √(1.2·P1/(2·qn))</t>
        </is>
      </c>
      <c r="C38" s="22" t="inlineStr"/>
      <c r="D38" s="34">
        <f>CEILING(SQRT(1.2*$D$36/(2*$D$35)),0.05)</f>
        <v/>
      </c>
      <c r="E38" s="24" t="inlineStr">
        <is>
          <t>m</t>
        </is>
      </c>
    </row>
    <row r="39" ht="13.5" customHeight="1">
      <c r="B39" s="9" t="inlineStr">
        <is>
          <t>Excentricidad e = T1/2 − c1/2</t>
        </is>
      </c>
      <c r="C39" s="22" t="inlineStr">
        <is>
          <t>e</t>
        </is>
      </c>
      <c r="D39" s="39">
        <f>$D$26/2-$D$20/200</f>
        <v/>
      </c>
      <c r="E39" s="24" t="inlineStr">
        <is>
          <t>m</t>
        </is>
      </c>
    </row>
    <row r="40" ht="13.5" customHeight="1">
      <c r="B40" s="9" t="inlineStr">
        <is>
          <t>Reacción R1 = P1·L/(L − e)</t>
        </is>
      </c>
      <c r="C40" s="22" t="inlineStr">
        <is>
          <t>R1</t>
        </is>
      </c>
      <c r="D40" s="34">
        <f>$D$36*$D$24/($D$24-$D$39)</f>
        <v/>
      </c>
      <c r="E40" s="24" t="inlineStr">
        <is>
          <t>t</t>
        </is>
      </c>
    </row>
    <row r="41" ht="24" customHeight="1">
      <c r="B41" s="9" t="inlineStr">
        <is>
          <t>Zapata exterior: lado perpendicular B1 = R1/(qn·T1)</t>
        </is>
      </c>
      <c r="C41" s="22" t="inlineStr">
        <is>
          <t>B1</t>
        </is>
      </c>
      <c r="D41" s="34">
        <f>CEILING($D$40/($D$35*$D$26),0.05)</f>
        <v/>
      </c>
      <c r="E41" s="24" t="inlineStr">
        <is>
          <t>m</t>
        </is>
      </c>
    </row>
    <row r="42" ht="13.5" customHeight="1">
      <c r="B42" s="9" t="inlineStr">
        <is>
          <t>Presión bajo la zapata exterior</t>
        </is>
      </c>
      <c r="C42" s="22" t="inlineStr">
        <is>
          <t>q1</t>
        </is>
      </c>
      <c r="D42" s="34">
        <f>$D$40/($D$41*$D$26)</f>
        <v/>
      </c>
      <c r="E42" s="24" t="inlineStr">
        <is>
          <t>t/m²</t>
        </is>
      </c>
    </row>
    <row r="43" ht="13.5" customHeight="1">
      <c r="B43" s="9" t="inlineStr">
        <is>
          <t>q1 ≤ qn</t>
        </is>
      </c>
      <c r="C43" s="29">
        <f>IF($D$42&lt;=$D$35+0.0001,"CUMPLE","NO CUMPLE")</f>
        <v/>
      </c>
      <c r="D43" s="30" t="n"/>
      <c r="E43" s="30" t="n"/>
    </row>
    <row r="44" ht="24" customHeight="1">
      <c r="B44" s="9" t="inlineStr">
        <is>
          <t>Carga neta que baja a la zapata interior P2 − (R1 − P1)</t>
        </is>
      </c>
      <c r="C44" s="22" t="inlineStr">
        <is>
          <t>P2'</t>
        </is>
      </c>
      <c r="D44" s="34">
        <f>$D$37-($D$40-$D$36)</f>
        <v/>
      </c>
      <c r="E44" s="24" t="inlineStr">
        <is>
          <t>t</t>
        </is>
      </c>
      <c r="F44" s="27" t="inlineStr">
        <is>
          <t>Por seguridad se dimensiona con P2 completo</t>
        </is>
      </c>
    </row>
    <row r="45" ht="13.5" customHeight="1">
      <c r="B45" s="9" t="inlineStr">
        <is>
          <t>Zapata interior cuadrada: lado √(P2/qn)</t>
        </is>
      </c>
      <c r="C45" s="22" t="inlineStr">
        <is>
          <t>S2</t>
        </is>
      </c>
      <c r="D45" s="34">
        <f>CEILING(SQRT($D$37/$D$35),0.05)</f>
        <v/>
      </c>
      <c r="E45" s="24" t="inlineStr">
        <is>
          <t>m</t>
        </is>
      </c>
      <c r="F45" s="27" t="inlineStr">
        <is>
          <t>Diséñela en la hoja ZAPATA</t>
        </is>
      </c>
    </row>
    <row r="47" ht="17" customHeight="1">
      <c r="B47" s="21" t="inlineStr">
        <is>
          <t>3. VIGA DE CONEXIÓN (cargas amplificadas)</t>
        </is>
      </c>
    </row>
    <row r="48" ht="13.5" customHeight="1">
      <c r="B48" s="9" t="inlineStr">
        <is>
          <t>Pu1 = 1.4·P1D + 1.7·P1L</t>
        </is>
      </c>
      <c r="C48" s="22" t="inlineStr">
        <is>
          <t>Pu1</t>
        </is>
      </c>
      <c r="D48" s="34">
        <f>1.4*$D$18+1.7*$D$19</f>
        <v/>
      </c>
      <c r="E48" s="24" t="inlineStr">
        <is>
          <t>t</t>
        </is>
      </c>
    </row>
    <row r="49" ht="13.5" customHeight="1">
      <c r="B49" s="9" t="inlineStr">
        <is>
          <t>Ru1 = Pu1·L/(L − e)</t>
        </is>
      </c>
      <c r="C49" s="22" t="inlineStr">
        <is>
          <t>Ru1</t>
        </is>
      </c>
      <c r="D49" s="34">
        <f>$D$48*$D$24/($D$24-$D$39)</f>
        <v/>
      </c>
      <c r="E49" s="24" t="inlineStr">
        <is>
          <t>t</t>
        </is>
      </c>
    </row>
    <row r="50" ht="13.5" customHeight="1">
      <c r="B50" s="9" t="inlineStr">
        <is>
          <t>Reacción por metro bajo la zapata wnu = Ru1/T1</t>
        </is>
      </c>
      <c r="C50" s="22" t="inlineStr">
        <is>
          <t>wnu</t>
        </is>
      </c>
      <c r="D50" s="34">
        <f>$D$49/$D$26</f>
        <v/>
      </c>
      <c r="E50" s="24" t="inlineStr">
        <is>
          <t>t/m</t>
        </is>
      </c>
    </row>
    <row r="51" ht="13.5" customHeight="1">
      <c r="B51" s="9" t="inlineStr">
        <is>
          <t>Cortante nulo a x0 = Pu1/wnu del lindero</t>
        </is>
      </c>
      <c r="C51" s="22" t="inlineStr">
        <is>
          <t>x0</t>
        </is>
      </c>
      <c r="D51" s="39">
        <f>$D$48/$D$50</f>
        <v/>
      </c>
      <c r="E51" s="24" t="inlineStr">
        <is>
          <t>m</t>
        </is>
      </c>
    </row>
    <row r="52" ht="13.5" customHeight="1">
      <c r="B52" s="9" t="inlineStr">
        <is>
          <t>Momento máximo Mu = Pu1·(x0 − c1/2) − wnu·x0²/2</t>
        </is>
      </c>
      <c r="C52" s="22" t="inlineStr">
        <is>
          <t>Mu</t>
        </is>
      </c>
      <c r="D52" s="34">
        <f>ABS($D$48*(MIN($D$51,$D$26)-$D$20/200)-$D$50*MIN($D$51,$D$26)^2/2)</f>
        <v/>
      </c>
      <c r="E52" s="24" t="inlineStr">
        <is>
          <t>t·m</t>
        </is>
      </c>
      <c r="F52" s="27" t="inlineStr">
        <is>
          <t>Tracción en la cara superior</t>
        </is>
      </c>
    </row>
    <row r="53" ht="13.5" customHeight="1">
      <c r="B53" s="9" t="inlineStr">
        <is>
          <t>Diámetro de la varilla de la viga</t>
        </is>
      </c>
      <c r="C53" s="22" t="inlineStr">
        <is>
          <t>db</t>
        </is>
      </c>
      <c r="D53" s="39">
        <f>INDEX(BAR_DB,MATCH($D$31,BAR_NOM,0))</f>
        <v/>
      </c>
      <c r="E53" s="24" t="inlineStr">
        <is>
          <t>cm</t>
        </is>
      </c>
    </row>
    <row r="54" ht="13.5" customHeight="1">
      <c r="B54" s="9" t="inlineStr">
        <is>
          <t>Área de la varilla</t>
        </is>
      </c>
      <c r="C54" s="22" t="inlineStr">
        <is>
          <t>Ab</t>
        </is>
      </c>
      <c r="D54" s="34">
        <f>INDEX(BAR_AS,MATCH($D$31,BAR_NOM,0))</f>
        <v/>
      </c>
      <c r="E54" s="24" t="inlineStr">
        <is>
          <t>cm²</t>
        </is>
      </c>
    </row>
    <row r="55" ht="13.5" customHeight="1">
      <c r="B55" s="9" t="inlineStr">
        <is>
          <t>Peralte efectivo de la viga</t>
        </is>
      </c>
      <c r="C55" s="22" t="inlineStr">
        <is>
          <t>d</t>
        </is>
      </c>
      <c r="D55" s="34">
        <f>$D$29-6</f>
        <v/>
      </c>
      <c r="E55" s="24" t="inlineStr">
        <is>
          <t>cm</t>
        </is>
      </c>
    </row>
    <row r="56" ht="13.5" customHeight="1">
      <c r="B56" s="9" t="inlineStr">
        <is>
          <t>Control de la sección (≥ 0)</t>
        </is>
      </c>
      <c r="C56" s="22" t="inlineStr"/>
      <c r="D56" s="39">
        <f>1-2*$D$52*100000/(0.9*0.85*$D$11*$D$28*$D$55^2)</f>
        <v/>
      </c>
      <c r="E56" s="24" t="inlineStr"/>
    </row>
    <row r="57" ht="13.5" customHeight="1">
      <c r="B57" s="9" t="inlineStr">
        <is>
          <t>Sección suficiente a flexión</t>
        </is>
      </c>
      <c r="C57" s="29">
        <f>IF($D$56&gt;=0,"CUMPLE","NO CUMPLE")</f>
        <v/>
      </c>
      <c r="D57" s="30" t="n"/>
      <c r="E57" s="30" t="n"/>
      <c r="F57" s="27" t="inlineStr">
        <is>
          <t>Si no cumple: aumente hv</t>
        </is>
      </c>
    </row>
    <row r="58" ht="13.5" customHeight="1">
      <c r="B58" s="9" t="inlineStr">
        <is>
          <t>As superior requerido</t>
        </is>
      </c>
      <c r="C58" s="22" t="inlineStr">
        <is>
          <t>As</t>
        </is>
      </c>
      <c r="D58" s="34">
        <f>MAX(0.85*$D$11*$D$28*$D$55/$D$12*(1-SQRT(MAX(0,1-2*$D$52*100000/(0.9*0.85*$D$11*$D$28*$D$55^2)))),0.7*SQRT($D$11)/$D$12*$D$28*$D$55)</f>
        <v/>
      </c>
      <c r="E58" s="24" t="inlineStr">
        <is>
          <t>cm²</t>
        </is>
      </c>
    </row>
    <row r="59" ht="13.5" customHeight="1">
      <c r="B59" s="9" t="inlineStr">
        <is>
          <t>Factor β1</t>
        </is>
      </c>
      <c r="C59" s="22" t="inlineStr">
        <is>
          <t>β1</t>
        </is>
      </c>
      <c r="D59" s="39">
        <f>IF($D$11&lt;=280,0.85,MAX(0.65,0.85-0.05*($D$11-280)/70))</f>
        <v/>
      </c>
      <c r="E59" s="24" t="inlineStr"/>
    </row>
    <row r="60" ht="13.5" customHeight="1">
      <c r="B60" s="9" t="inlineStr">
        <is>
          <t>As ≤ 0.75·ρb·b·d</t>
        </is>
      </c>
      <c r="C60" s="29">
        <f>IF($D$58&lt;=0.75*0.85*$D$59*$D$11/$D$12*6000/(6000+$D$12)*$D$28*$D$55,"CUMPLE","NO CUMPLE")</f>
        <v/>
      </c>
      <c r="D60" s="30" t="n"/>
      <c r="E60" s="30" t="n"/>
      <c r="F60" s="27" t="inlineStr">
        <is>
          <t>Si no cumple: aumente hv</t>
        </is>
      </c>
    </row>
    <row r="61" ht="13.5" customHeight="1">
      <c r="B61" s="9" t="inlineStr">
        <is>
          <t>Varillas superiores</t>
        </is>
      </c>
      <c r="C61" s="22" t="inlineStr">
        <is>
          <t>n</t>
        </is>
      </c>
      <c r="D61" s="28">
        <f>MAX(2,CEILING($D$58/$D$54,1))</f>
        <v/>
      </c>
      <c r="E61" s="24" t="inlineStr"/>
    </row>
    <row r="62" ht="13.5" customHeight="1">
      <c r="B62" s="9" t="inlineStr">
        <is>
          <t>As inferior = máx(As mín, As sup/3)</t>
        </is>
      </c>
      <c r="C62" s="22" t="inlineStr">
        <is>
          <t>As</t>
        </is>
      </c>
      <c r="D62" s="34">
        <f>MAX(0.7*SQRT($D$11)/$D$12*$D$28*$D$55,$D$58/3)</f>
        <v/>
      </c>
      <c r="E62" s="24" t="inlineStr">
        <is>
          <t>cm²</t>
        </is>
      </c>
    </row>
    <row r="63" ht="13.5" customHeight="1">
      <c r="B63" s="9" t="inlineStr">
        <is>
          <t>Varillas inferiores</t>
        </is>
      </c>
      <c r="C63" s="22" t="inlineStr">
        <is>
          <t>n</t>
        </is>
      </c>
      <c r="D63" s="28">
        <f>MAX(2,CEILING($D$62/$D$54,1))</f>
        <v/>
      </c>
      <c r="E63" s="24" t="inlineStr"/>
    </row>
    <row r="64" ht="13.5" customHeight="1">
      <c r="B64" s="9" t="inlineStr">
        <is>
          <t>Cortante máximo Vu</t>
        </is>
      </c>
      <c r="C64" s="22" t="inlineStr">
        <is>
          <t>Vu</t>
        </is>
      </c>
      <c r="D64" s="34">
        <f>MAX($D$49-$D$48,$D$48-$D$50*($D$20+$D$55)/100)</f>
        <v/>
      </c>
      <c r="E64" s="24" t="inlineStr">
        <is>
          <t>t</t>
        </is>
      </c>
    </row>
    <row r="65" ht="13.5" customHeight="1">
      <c r="B65" s="9" t="inlineStr">
        <is>
          <t>φVc = 0.85·0.53·√f'c·b·d</t>
        </is>
      </c>
      <c r="C65" s="22" t="inlineStr">
        <is>
          <t>φVc</t>
        </is>
      </c>
      <c r="D65" s="34">
        <f>0.85*0.53*SQRT($D$11)*$D$28*$D$55/1000</f>
        <v/>
      </c>
      <c r="E65" s="24" t="inlineStr">
        <is>
          <t>t</t>
        </is>
      </c>
    </row>
    <row r="66" ht="13.5" customHeight="1">
      <c r="B66" s="9" t="inlineStr">
        <is>
          <t>Área del estribo</t>
        </is>
      </c>
      <c r="C66" s="22" t="inlineStr">
        <is>
          <t>Abe</t>
        </is>
      </c>
      <c r="D66" s="34">
        <f>INDEX(BAR_AS,MATCH($D$32,BAR_NOM,0))</f>
        <v/>
      </c>
      <c r="E66" s="24" t="inlineStr">
        <is>
          <t>cm²</t>
        </is>
      </c>
    </row>
    <row r="67" ht="13.5" customHeight="1">
      <c r="B67" s="9" t="inlineStr">
        <is>
          <t>Espaciamiento de estribos</t>
        </is>
      </c>
      <c r="C67" s="22" t="inlineStr">
        <is>
          <t>s</t>
        </is>
      </c>
      <c r="D67" s="26">
        <f>FLOOR(MIN($D$55/2,60,IF($D$64&gt;$D$65,2*$D$66*$D$12*$D$55/(($D$64/0.85-$D$65/0.85)*1000),999)),2.5)</f>
        <v/>
      </c>
      <c r="E67" s="24" t="inlineStr">
        <is>
          <t>cm</t>
        </is>
      </c>
      <c r="F67" s="27" t="inlineStr">
        <is>
          <t>d/2 o por resistencia</t>
        </is>
      </c>
    </row>
    <row r="68" ht="13.5" customHeight="1">
      <c r="B68" s="9" t="inlineStr">
        <is>
          <t>Vu/φ − Vc ≤ 2.1√f'c·b·d</t>
        </is>
      </c>
      <c r="C68" s="29">
        <f>IF($D$64/0.85-$D$65/0.85&lt;=2.1*SQRT($D$11)*$D$28*$D$55/1000,"CUMPLE","NO CUMPLE")</f>
        <v/>
      </c>
      <c r="D68" s="30" t="n"/>
      <c r="E68" s="30" t="n"/>
    </row>
    <row r="69" ht="13.5" customHeight="1">
      <c r="B69" s="9" t="inlineStr">
        <is>
          <t>VIGA DE CONEXIÓN</t>
        </is>
      </c>
      <c r="C69" s="22" t="inlineStr"/>
      <c r="D69" s="44">
        <f>"Sup. "&amp;$D$61&amp;" Ø "&amp;$D$31&amp;" · Inf. "&amp;$D$63&amp;" Ø "&amp;$D$31&amp;" · □ Ø "&amp;$D$32&amp;" @ "&amp;FIXED($D$67/100,IF(MOD(ROUND($D$67*10,0),50)=0,2,3))&amp;" m"</f>
        <v/>
      </c>
      <c r="E69" s="30" t="n"/>
      <c r="F69" s="30" t="n"/>
    </row>
    <row r="71" ht="17" customHeight="1">
      <c r="B71" s="21" t="inlineStr">
        <is>
          <t>4. ZAPATA EXTERIOR (flexión transversal a la viga)</t>
        </is>
      </c>
    </row>
    <row r="72" ht="13.5" customHeight="1">
      <c r="B72" s="9" t="inlineStr">
        <is>
          <t>Presión última qu = Ru1/(B1·T1)</t>
        </is>
      </c>
      <c r="C72" s="22" t="inlineStr">
        <is>
          <t>qu</t>
        </is>
      </c>
      <c r="D72" s="34">
        <f>$D$49/($D$41*$D$26)</f>
        <v/>
      </c>
      <c r="E72" s="24" t="inlineStr">
        <is>
          <t>t/m²</t>
        </is>
      </c>
    </row>
    <row r="73" ht="13.5" customHeight="1">
      <c r="B73" s="9" t="inlineStr">
        <is>
          <t>Volado (B1 − bv)/2</t>
        </is>
      </c>
      <c r="C73" s="22" t="inlineStr">
        <is>
          <t>v</t>
        </is>
      </c>
      <c r="D73" s="34">
        <f>($D$41-$D$28/100)/2</f>
        <v/>
      </c>
      <c r="E73" s="24" t="inlineStr">
        <is>
          <t>m</t>
        </is>
      </c>
    </row>
    <row r="74" ht="13.5" customHeight="1">
      <c r="B74" s="9" t="inlineStr">
        <is>
          <t>Diámetro de la varilla de la zapata</t>
        </is>
      </c>
      <c r="C74" s="22" t="inlineStr">
        <is>
          <t>db</t>
        </is>
      </c>
      <c r="D74" s="39">
        <f>INDEX(BAR_DB,MATCH($D$30,BAR_NOM,0))</f>
        <v/>
      </c>
      <c r="E74" s="24" t="inlineStr">
        <is>
          <t>cm</t>
        </is>
      </c>
    </row>
    <row r="75" ht="13.5" customHeight="1">
      <c r="B75" s="9" t="inlineStr">
        <is>
          <t>Área de la varilla</t>
        </is>
      </c>
      <c r="C75" s="22" t="inlineStr">
        <is>
          <t>Ab</t>
        </is>
      </c>
      <c r="D75" s="34">
        <f>INDEX(BAR_AS,MATCH($D$30,BAR_NOM,0))</f>
        <v/>
      </c>
      <c r="E75" s="24" t="inlineStr">
        <is>
          <t>cm²</t>
        </is>
      </c>
    </row>
    <row r="76" ht="24" customHeight="1">
      <c r="B76" s="9" t="inlineStr">
        <is>
          <t>Peralte efectivo hz − 7.5 − db/2 (capa transversal inferior)</t>
        </is>
      </c>
      <c r="C76" s="22" t="inlineStr">
        <is>
          <t>d</t>
        </is>
      </c>
      <c r="D76" s="34">
        <f>$D$27-7.5-$D$74/2</f>
        <v/>
      </c>
      <c r="E76" s="24" t="inlineStr">
        <is>
          <t>cm</t>
        </is>
      </c>
    </row>
    <row r="77" ht="13.5" customHeight="1">
      <c r="B77" s="9" t="inlineStr">
        <is>
          <t>Momento último qu·T1·v²/2</t>
        </is>
      </c>
      <c r="C77" s="22" t="inlineStr">
        <is>
          <t>Mu</t>
        </is>
      </c>
      <c r="D77" s="34">
        <f>$D$72*$D$26*$D$73^2/2</f>
        <v/>
      </c>
      <c r="E77" s="24" t="inlineStr">
        <is>
          <t>t·m</t>
        </is>
      </c>
    </row>
    <row r="78" ht="13.5" customHeight="1">
      <c r="B78" s="9" t="inlineStr">
        <is>
          <t>As requerido (b = T1)</t>
        </is>
      </c>
      <c r="C78" s="22" t="inlineStr">
        <is>
          <t>As</t>
        </is>
      </c>
      <c r="D78" s="34">
        <f>MAX(0.85*$D$11*$D$26*100*$D$76/$D$12*(1-SQRT(MAX(0,1-2*$D$77*100000/(0.9*0.85*$D$11*$D$26*100*$D$76^2)))),0.0018*$D$26*100*$D$27)</f>
        <v/>
      </c>
      <c r="E78" s="24" t="inlineStr">
        <is>
          <t>cm²</t>
        </is>
      </c>
    </row>
    <row r="79" ht="13.5" customHeight="1">
      <c r="B79" s="9" t="inlineStr">
        <is>
          <t>Espaciamiento</t>
        </is>
      </c>
      <c r="C79" s="22" t="inlineStr">
        <is>
          <t>s</t>
        </is>
      </c>
      <c r="D79" s="26">
        <f>MIN(FLOOR($D$75*$D$26*100/$D$78,2.5),3*$D$27,40)</f>
        <v/>
      </c>
      <c r="E79" s="24" t="inlineStr">
        <is>
          <t>cm</t>
        </is>
      </c>
    </row>
    <row r="80" ht="13.5" customHeight="1">
      <c r="B80" s="9" t="inlineStr">
        <is>
          <t>Cortante a «d» qu·T1·(v − d)</t>
        </is>
      </c>
      <c r="C80" s="22" t="inlineStr">
        <is>
          <t>Vu</t>
        </is>
      </c>
      <c r="D80" s="34">
        <f>MAX(0,$D$72*$D$26*($D$73-$D$76/100))</f>
        <v/>
      </c>
      <c r="E80" s="24" t="inlineStr">
        <is>
          <t>t</t>
        </is>
      </c>
    </row>
    <row r="81" ht="13.5" customHeight="1">
      <c r="B81" s="9" t="inlineStr">
        <is>
          <t>φVc = 0.85·0.53·√f'c·T1·d</t>
        </is>
      </c>
      <c r="C81" s="22" t="inlineStr">
        <is>
          <t>φVc</t>
        </is>
      </c>
      <c r="D81" s="34">
        <f>0.85*0.53*SQRT($D$11)*$D$26*100*$D$76/1000</f>
        <v/>
      </c>
      <c r="E81" s="24" t="inlineStr">
        <is>
          <t>t</t>
        </is>
      </c>
    </row>
    <row r="82" ht="13.5" customHeight="1">
      <c r="B82" s="9" t="inlineStr">
        <is>
          <t>Vu ≤ φVc</t>
        </is>
      </c>
      <c r="C82" s="29">
        <f>IF($D$80&lt;=$D$81,"CUMPLE","NO CUMPLE")</f>
        <v/>
      </c>
      <c r="D82" s="30" t="n"/>
      <c r="E82" s="30" t="n"/>
      <c r="F82" s="27" t="inlineStr">
        <is>
          <t>Si no cumple: aumente hz</t>
        </is>
      </c>
    </row>
    <row r="83" ht="13.5" customHeight="1">
      <c r="B83" s="9" t="inlineStr">
        <is>
          <t>Acero en la dirección de la viga 0.0018·B1·hz</t>
        </is>
      </c>
      <c r="C83" s="22" t="inlineStr">
        <is>
          <t>s</t>
        </is>
      </c>
      <c r="D83" s="26">
        <f>MIN(FLOOR($D$75/(0.0018*$D$27),2.5),3*$D$27,40)</f>
        <v/>
      </c>
      <c r="E83" s="24" t="inlineStr">
        <is>
          <t>cm</t>
        </is>
      </c>
    </row>
    <row r="84" ht="13.5" customHeight="1">
      <c r="B84" s="9" t="inlineStr">
        <is>
          <t>ZAPATA EXTERIOR</t>
        </is>
      </c>
      <c r="C84" s="22" t="inlineStr"/>
      <c r="D84" s="44">
        <f>FIXED($D$26,2)&amp;" × "&amp;FIXED($D$41,2)&amp;" m · Ø "&amp;$D$30&amp;" @ "&amp;FIXED($D$79/100,IF(MOD(ROUND($D$79*10,0),50)=0,2,3))&amp;" (transv.) y @ "&amp;FIXED($D$83/100,IF(MOD(ROUND($D$83*10,0),50)=0,2,3))&amp;" m"</f>
        <v/>
      </c>
      <c r="E84" s="30" t="n"/>
      <c r="F84" s="30" t="n"/>
    </row>
    <row r="85" ht="13.5" customHeight="1">
      <c r="B85" s="9" t="inlineStr">
        <is>
          <t>ESTADO GENERAL DEL DISEÑO</t>
        </is>
      </c>
      <c r="C85" s="29">
        <f>IF(AND($C$43="CUMPLE",$C$57="CUMPLE",$C$60="CUMPLE",$C$68="CUMPLE",$C$82="CUMPLE"),"CUMPLE","NO CUMPLE")</f>
        <v/>
      </c>
      <c r="D85" s="30" t="n"/>
      <c r="E85" s="30" t="n"/>
      <c r="F85" s="27" t="inlineStr">
        <is>
          <t>La zapata interior se diseña en la hoja ZAPATA</t>
        </is>
      </c>
    </row>
    <row r="87" ht="17" customHeight="1">
      <c r="B87" s="21" t="inlineStr">
        <is>
          <t>5. CROQUIS EN PLANTA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0">
    <mergeCell ref="B47:F47"/>
    <mergeCell ref="C7:F7"/>
    <mergeCell ref="B71:F71"/>
    <mergeCell ref="C43:E43"/>
    <mergeCell ref="C60:E60"/>
    <mergeCell ref="C3:F3"/>
    <mergeCell ref="B2:F2"/>
    <mergeCell ref="C6:F6"/>
    <mergeCell ref="B1:F1"/>
    <mergeCell ref="C82:E82"/>
    <mergeCell ref="C5:F5"/>
    <mergeCell ref="B87:F87"/>
    <mergeCell ref="C57:E57"/>
    <mergeCell ref="B34:F34"/>
    <mergeCell ref="C4:F4"/>
    <mergeCell ref="B10:F10"/>
    <mergeCell ref="C68:E68"/>
    <mergeCell ref="D69:F69"/>
    <mergeCell ref="D84:F84"/>
    <mergeCell ref="C85:E85"/>
  </mergeCells>
  <conditionalFormatting sqref="B1:F106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1">
    <dataValidation sqref="D30 D31 D32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86" min="0" max="16383" man="1"/>
  </rowBreaks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I137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8" max="8"/>
    <col hidden="1" width="13" customWidth="1" min="9" max="9"/>
  </cols>
  <sheetData>
    <row r="1" ht="24" customHeight="1">
      <c r="B1" s="14" t="inlineStr">
        <is>
          <t>ZAPATA COMBINADA RECTANGULAR (DOS COLUMNAS)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Z-4 (columnas C-5 de lindero y C-6)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H7" s="45">
        <f>0</f>
        <v/>
      </c>
      <c r="I7" s="45">
        <f>-$D$45/2</f>
        <v/>
      </c>
    </row>
    <row r="8">
      <c r="H8" s="45">
        <f>$D$42</f>
        <v/>
      </c>
      <c r="I8" s="45">
        <f>-$D$45/2</f>
        <v/>
      </c>
    </row>
    <row r="9">
      <c r="H9" s="45">
        <f>$D$42</f>
        <v/>
      </c>
      <c r="I9" s="45">
        <f>$D$45/2</f>
        <v/>
      </c>
    </row>
    <row r="10" ht="17" customHeight="1">
      <c r="B10" s="21" t="inlineStr">
        <is>
          <t>1. DATOS DE ENTRADA</t>
        </is>
      </c>
      <c r="H10" s="45">
        <f>0</f>
        <v/>
      </c>
      <c r="I10" s="45">
        <f>$D$45/2</f>
        <v/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  <c r="H11" s="45">
        <f>0</f>
        <v/>
      </c>
      <c r="I11" s="45">
        <f>-$D$45/2</f>
        <v/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  <c r="H12" s="45" t="n"/>
      <c r="I12" s="45" t="n"/>
    </row>
    <row r="13" ht="13.5" customHeight="1">
      <c r="B13" s="9" t="inlineStr">
        <is>
          <t>Capacidad portante admisible</t>
        </is>
      </c>
      <c r="C13" s="22" t="inlineStr">
        <is>
          <t>qadm</t>
        </is>
      </c>
      <c r="D13" s="25" t="n">
        <v>1.5</v>
      </c>
      <c r="E13" s="24" t="inlineStr">
        <is>
          <t>kgf/cm²</t>
        </is>
      </c>
      <c r="H13" s="45">
        <f>$D$54-$D$20/200</f>
        <v/>
      </c>
      <c r="I13" s="45">
        <f>-$D$21/200</f>
        <v/>
      </c>
    </row>
    <row r="14" ht="13.5" customHeight="1">
      <c r="B14" s="9" t="inlineStr">
        <is>
          <t>Profundidad de desplante</t>
        </is>
      </c>
      <c r="C14" s="22" t="inlineStr">
        <is>
          <t>Df</t>
        </is>
      </c>
      <c r="D14" s="25" t="n">
        <v>1.5</v>
      </c>
      <c r="E14" s="24" t="inlineStr">
        <is>
          <t>m</t>
        </is>
      </c>
      <c r="H14" s="45">
        <f>$D$54+$D$20/200</f>
        <v/>
      </c>
      <c r="I14" s="45">
        <f>-$D$21/200</f>
        <v/>
      </c>
    </row>
    <row r="15" ht="13.5" customHeight="1">
      <c r="B15" s="9" t="inlineStr">
        <is>
          <t>Peso unitario promedio suelo + concreto</t>
        </is>
      </c>
      <c r="C15" s="22" t="inlineStr">
        <is>
          <t>γm</t>
        </is>
      </c>
      <c r="D15" s="25" t="n">
        <v>2</v>
      </c>
      <c r="E15" s="24" t="inlineStr">
        <is>
          <t>t/m³</t>
        </is>
      </c>
      <c r="H15" s="45">
        <f>$D$54+$D$20/200</f>
        <v/>
      </c>
      <c r="I15" s="45">
        <f>$D$21/200</f>
        <v/>
      </c>
    </row>
    <row r="16" ht="13.5" customHeight="1">
      <c r="B16" s="9" t="inlineStr">
        <is>
          <t>Sobrecarga sobre el piso</t>
        </is>
      </c>
      <c r="C16" s="22" t="inlineStr">
        <is>
          <t>s/c</t>
        </is>
      </c>
      <c r="D16" s="25" t="n">
        <v>0.25</v>
      </c>
      <c r="E16" s="24" t="inlineStr">
        <is>
          <t>t/m²</t>
        </is>
      </c>
      <c r="H16" s="45">
        <f>$D$54-$D$20/200</f>
        <v/>
      </c>
      <c r="I16" s="45">
        <f>$D$21/200</f>
        <v/>
      </c>
    </row>
    <row r="17">
      <c r="B17" s="4" t="inlineStr">
        <is>
          <t>Columnas (eje longitudinal de la zapata = dirección X)</t>
        </is>
      </c>
      <c r="H17" s="45">
        <f>$D$54-$D$20/200</f>
        <v/>
      </c>
      <c r="I17" s="45">
        <f>-$D$21/200</f>
        <v/>
      </c>
    </row>
    <row r="18" ht="13.5" customHeight="1">
      <c r="B18" s="9" t="inlineStr">
        <is>
          <t>Columna 1: carga muerta</t>
        </is>
      </c>
      <c r="C18" s="22" t="inlineStr">
        <is>
          <t>P1D</t>
        </is>
      </c>
      <c r="D18" s="25" t="n">
        <v>45</v>
      </c>
      <c r="E18" s="24" t="inlineStr">
        <is>
          <t>t</t>
        </is>
      </c>
      <c r="H18" s="45" t="n"/>
      <c r="I18" s="45" t="n"/>
    </row>
    <row r="19" ht="13.5" customHeight="1">
      <c r="B19" s="9" t="inlineStr">
        <is>
          <t>Columna 1: carga viva</t>
        </is>
      </c>
      <c r="C19" s="22" t="inlineStr">
        <is>
          <t>P1L</t>
        </is>
      </c>
      <c r="D19" s="25" t="n">
        <v>15</v>
      </c>
      <c r="E19" s="24" t="inlineStr">
        <is>
          <t>t</t>
        </is>
      </c>
      <c r="H19" s="45">
        <f>$D$55-$D$24/200</f>
        <v/>
      </c>
      <c r="I19" s="45">
        <f>-$D$25/200</f>
        <v/>
      </c>
    </row>
    <row r="20" ht="13.5" customHeight="1">
      <c r="B20" s="9" t="inlineStr">
        <is>
          <t>Columna 1: lado en X</t>
        </is>
      </c>
      <c r="C20" s="22" t="inlineStr">
        <is>
          <t>c1x</t>
        </is>
      </c>
      <c r="D20" s="35" t="n">
        <v>40</v>
      </c>
      <c r="E20" s="24" t="inlineStr">
        <is>
          <t>cm</t>
        </is>
      </c>
      <c r="H20" s="45">
        <f>$D$55+$D$24/200</f>
        <v/>
      </c>
      <c r="I20" s="45">
        <f>-$D$25/200</f>
        <v/>
      </c>
    </row>
    <row r="21" ht="13.5" customHeight="1">
      <c r="B21" s="9" t="inlineStr">
        <is>
          <t>Columna 1: lado en Y</t>
        </is>
      </c>
      <c r="C21" s="22" t="inlineStr">
        <is>
          <t>c1y</t>
        </is>
      </c>
      <c r="D21" s="35" t="n">
        <v>40</v>
      </c>
      <c r="E21" s="24" t="inlineStr">
        <is>
          <t>cm</t>
        </is>
      </c>
      <c r="H21" s="45">
        <f>$D$55+$D$24/200</f>
        <v/>
      </c>
      <c r="I21" s="45">
        <f>$D$25/200</f>
        <v/>
      </c>
    </row>
    <row r="22" ht="13.5" customHeight="1">
      <c r="B22" s="9" t="inlineStr">
        <is>
          <t>Columna 2: carga muerta</t>
        </is>
      </c>
      <c r="C22" s="22" t="inlineStr">
        <is>
          <t>P2D</t>
        </is>
      </c>
      <c r="D22" s="25" t="n">
        <v>65</v>
      </c>
      <c r="E22" s="24" t="inlineStr">
        <is>
          <t>t</t>
        </is>
      </c>
      <c r="H22" s="45">
        <f>$D$55-$D$24/200</f>
        <v/>
      </c>
      <c r="I22" s="45">
        <f>$D$25/200</f>
        <v/>
      </c>
    </row>
    <row r="23" ht="13.5" customHeight="1">
      <c r="B23" s="9" t="inlineStr">
        <is>
          <t>Columna 2: carga viva</t>
        </is>
      </c>
      <c r="C23" s="22" t="inlineStr">
        <is>
          <t>P2L</t>
        </is>
      </c>
      <c r="D23" s="25" t="n">
        <v>25</v>
      </c>
      <c r="E23" s="24" t="inlineStr">
        <is>
          <t>t</t>
        </is>
      </c>
      <c r="H23" s="45">
        <f>$D$55-$D$24/200</f>
        <v/>
      </c>
      <c r="I23" s="45">
        <f>-$D$25/200</f>
        <v/>
      </c>
    </row>
    <row r="24" ht="13.5" customHeight="1">
      <c r="B24" s="9" t="inlineStr">
        <is>
          <t>Columna 2: lado en X</t>
        </is>
      </c>
      <c r="C24" s="22" t="inlineStr">
        <is>
          <t>c2x</t>
        </is>
      </c>
      <c r="D24" s="35" t="n">
        <v>45</v>
      </c>
      <c r="E24" s="24" t="inlineStr">
        <is>
          <t>cm</t>
        </is>
      </c>
      <c r="H24" s="45" t="n"/>
      <c r="I24" s="45" t="n"/>
    </row>
    <row r="25" ht="13.5" customHeight="1">
      <c r="B25" s="9" t="inlineStr">
        <is>
          <t>Columna 2: lado en Y</t>
        </is>
      </c>
      <c r="C25" s="22" t="inlineStr">
        <is>
          <t>c2y</t>
        </is>
      </c>
      <c r="D25" s="35" t="n">
        <v>45</v>
      </c>
      <c r="E25" s="24" t="inlineStr">
        <is>
          <t>cm</t>
        </is>
      </c>
      <c r="H25" s="45" t="n"/>
      <c r="I25" s="45" t="n"/>
    </row>
    <row r="26" ht="13.5" customHeight="1">
      <c r="B26" s="9" t="inlineStr">
        <is>
          <t>Distancia entre ejes de columnas</t>
        </is>
      </c>
      <c r="C26" s="22" t="inlineStr">
        <is>
          <t>L12</t>
        </is>
      </c>
      <c r="D26" s="25" t="n">
        <v>4.5</v>
      </c>
      <c r="E26" s="24" t="inlineStr">
        <is>
          <t>m</t>
        </is>
      </c>
    </row>
    <row r="27" ht="24" customHeight="1">
      <c r="B27" s="9" t="inlineStr">
        <is>
          <t>Del borde izquierdo de la zapata al eje de la columna 1</t>
        </is>
      </c>
      <c r="C27" s="22" t="inlineStr">
        <is>
          <t>a1</t>
        </is>
      </c>
      <c r="D27" s="25" t="n">
        <v>0.2</v>
      </c>
      <c r="E27" s="24" t="inlineStr">
        <is>
          <t>m</t>
        </is>
      </c>
      <c r="F27" s="27" t="inlineStr">
        <is>
          <t>Lindero: a1 = c1x/2</t>
        </is>
      </c>
    </row>
    <row r="28">
      <c r="B28" s="4" t="inlineStr">
        <is>
          <t>Zapata</t>
        </is>
      </c>
    </row>
    <row r="29" ht="13.5" customHeight="1">
      <c r="B29" s="9" t="inlineStr">
        <is>
          <t>Peralte</t>
        </is>
      </c>
      <c r="C29" s="22" t="inlineStr">
        <is>
          <t>hz</t>
        </is>
      </c>
      <c r="D29" s="35" t="n">
        <v>70</v>
      </c>
      <c r="E29" s="24" t="inlineStr">
        <is>
          <t>cm</t>
        </is>
      </c>
    </row>
    <row r="30" ht="13.5" customHeight="1">
      <c r="B30" s="9" t="inlineStr">
        <is>
          <t>Varilla longitudinal (X)</t>
        </is>
      </c>
      <c r="C30" s="22" t="inlineStr">
        <is>
          <t>ØL</t>
        </is>
      </c>
      <c r="D30" s="31" t="inlineStr">
        <is>
          <t>3/4"</t>
        </is>
      </c>
      <c r="E30" s="24" t="inlineStr"/>
    </row>
    <row r="31" ht="13.5" customHeight="1">
      <c r="B31" s="9" t="inlineStr">
        <is>
          <t>Varilla transversal (Y)</t>
        </is>
      </c>
      <c r="C31" s="22" t="inlineStr">
        <is>
          <t>ØT</t>
        </is>
      </c>
      <c r="D31" s="31" t="inlineStr">
        <is>
          <t>5/8"</t>
        </is>
      </c>
      <c r="E31" s="24" t="inlineStr"/>
    </row>
    <row r="32" ht="13.5" customHeight="1">
      <c r="B32" s="9" t="inlineStr">
        <is>
          <t>Largo adoptado (vacío = sugerido)</t>
        </is>
      </c>
      <c r="C32" s="22" t="inlineStr">
        <is>
          <t>L</t>
        </is>
      </c>
      <c r="D32" s="25" t="n"/>
      <c r="E32" s="24" t="inlineStr">
        <is>
          <t>m</t>
        </is>
      </c>
    </row>
    <row r="33" ht="13.5" customHeight="1">
      <c r="B33" s="9" t="inlineStr">
        <is>
          <t>Ancho adoptado (vacío = sugerido)</t>
        </is>
      </c>
      <c r="C33" s="22" t="inlineStr">
        <is>
          <t>B</t>
        </is>
      </c>
      <c r="D33" s="25" t="n"/>
      <c r="E33" s="24" t="inlineStr">
        <is>
          <t>m</t>
        </is>
      </c>
    </row>
    <row r="35" ht="17" customHeight="1">
      <c r="B35" s="21" t="inlineStr">
        <is>
          <t>2. DIMENSIONES (servicio)</t>
        </is>
      </c>
    </row>
    <row r="36" ht="13.5" customHeight="1">
      <c r="B36" s="9" t="inlineStr">
        <is>
          <t>Capacidad neta qn = qadm − γm·Df − s/c</t>
        </is>
      </c>
      <c r="C36" s="22" t="inlineStr">
        <is>
          <t>qn</t>
        </is>
      </c>
      <c r="D36" s="34">
        <f>$D$13*10-$D$15*$D$14-$D$16</f>
        <v/>
      </c>
      <c r="E36" s="24" t="inlineStr">
        <is>
          <t>t/m²</t>
        </is>
      </c>
    </row>
    <row r="37" ht="13.5" customHeight="1">
      <c r="B37" s="9" t="inlineStr">
        <is>
          <t>qn &gt; 0</t>
        </is>
      </c>
      <c r="C37" s="29">
        <f>IF($D$36&gt;0,"CUMPLE","NO CUMPLE")</f>
        <v/>
      </c>
      <c r="D37" s="30" t="n"/>
      <c r="E37" s="30" t="n"/>
    </row>
    <row r="38" ht="13.5" customHeight="1">
      <c r="B38" s="9" t="inlineStr">
        <is>
          <t>Carga de servicio columna 1</t>
        </is>
      </c>
      <c r="C38" s="22" t="inlineStr">
        <is>
          <t>P1</t>
        </is>
      </c>
      <c r="D38" s="34">
        <f>$D$18+$D$19</f>
        <v/>
      </c>
      <c r="E38" s="24" t="inlineStr">
        <is>
          <t>t</t>
        </is>
      </c>
    </row>
    <row r="39" ht="13.5" customHeight="1">
      <c r="B39" s="9" t="inlineStr">
        <is>
          <t>Carga de servicio columna 2</t>
        </is>
      </c>
      <c r="C39" s="22" t="inlineStr">
        <is>
          <t>P2</t>
        </is>
      </c>
      <c r="D39" s="34">
        <f>$D$22+$D$23</f>
        <v/>
      </c>
      <c r="E39" s="24" t="inlineStr">
        <is>
          <t>t</t>
        </is>
      </c>
    </row>
    <row r="40" ht="24" customHeight="1">
      <c r="B40" s="9" t="inlineStr">
        <is>
          <t>Resultante desde el eje de la columna 1: P2·L12/(P1 + P2)</t>
        </is>
      </c>
      <c r="C40" s="22" t="inlineStr">
        <is>
          <t>xr</t>
        </is>
      </c>
      <c r="D40" s="39">
        <f>$D$39*$D$26/($D$38+$D$39)</f>
        <v/>
      </c>
      <c r="E40" s="24" t="inlineStr">
        <is>
          <t>m</t>
        </is>
      </c>
    </row>
    <row r="41" ht="24" customHeight="1">
      <c r="B41" s="9" t="inlineStr">
        <is>
          <t>Largo sugerido L = 2·(a1 + xr) (presión uniforme)</t>
        </is>
      </c>
      <c r="C41" s="22" t="inlineStr">
        <is>
          <t>L</t>
        </is>
      </c>
      <c r="D41" s="34">
        <f>CEILING(2*($D$27+$D$40),0.05)</f>
        <v/>
      </c>
      <c r="E41" s="24" t="inlineStr">
        <is>
          <t>m</t>
        </is>
      </c>
    </row>
    <row r="42" ht="13.5" customHeight="1">
      <c r="B42" s="9" t="inlineStr">
        <is>
          <t>Largo de diseño</t>
        </is>
      </c>
      <c r="C42" s="22" t="inlineStr">
        <is>
          <t>L</t>
        </is>
      </c>
      <c r="D42" s="34">
        <f>IF(ISNUMBER($D$32),$D$32,$D$41)</f>
        <v/>
      </c>
      <c r="E42" s="24" t="inlineStr">
        <is>
          <t>m</t>
        </is>
      </c>
    </row>
    <row r="43" ht="13.5" customHeight="1">
      <c r="B43" s="9" t="inlineStr">
        <is>
          <t>La zapata cubre la columna 2</t>
        </is>
      </c>
      <c r="C43" s="29">
        <f>IF($D$42&gt;=$D$27+$D$26+$D$24/200,"CUMPLE","NO CUMPLE")</f>
        <v/>
      </c>
      <c r="D43" s="30" t="n"/>
      <c r="E43" s="30" t="n"/>
      <c r="F43" s="27" t="inlineStr">
        <is>
          <t>Aumente L</t>
        </is>
      </c>
    </row>
    <row r="44" ht="13.5" customHeight="1">
      <c r="B44" s="9" t="inlineStr">
        <is>
          <t>Ancho sugerido B = (P1 + P2)/(qn·L)</t>
        </is>
      </c>
      <c r="C44" s="22" t="inlineStr">
        <is>
          <t>B</t>
        </is>
      </c>
      <c r="D44" s="34">
        <f>CEILING(($D$38+$D$39)/(MAX(0.01,$D$36)*$D$42),0.05)</f>
        <v/>
      </c>
      <c r="E44" s="24" t="inlineStr">
        <is>
          <t>m</t>
        </is>
      </c>
    </row>
    <row r="45" ht="13.5" customHeight="1">
      <c r="B45" s="9" t="inlineStr">
        <is>
          <t>Ancho de diseño</t>
        </is>
      </c>
      <c r="C45" s="22" t="inlineStr">
        <is>
          <t>B</t>
        </is>
      </c>
      <c r="D45" s="34">
        <f>IF(ISNUMBER($D$33),$D$33,$D$44)</f>
        <v/>
      </c>
      <c r="E45" s="24" t="inlineStr">
        <is>
          <t>m</t>
        </is>
      </c>
    </row>
    <row r="46" ht="24" customHeight="1">
      <c r="B46" s="9" t="inlineStr">
        <is>
          <t>Excentricidad de la resultante e = L/2 − (a1 + xr)</t>
        </is>
      </c>
      <c r="C46" s="22" t="inlineStr">
        <is>
          <t>e</t>
        </is>
      </c>
      <c r="D46" s="39">
        <f>$D$42/2-($D$27+$D$40)</f>
        <v/>
      </c>
      <c r="E46" s="24" t="inlineStr">
        <is>
          <t>m</t>
        </is>
      </c>
    </row>
    <row r="47" ht="13.5" customHeight="1">
      <c r="B47" s="9" t="inlineStr">
        <is>
          <t>Presión máxima P/(B·L)·(1 + 6|e|/L)</t>
        </is>
      </c>
      <c r="C47" s="22" t="inlineStr">
        <is>
          <t>qmáx</t>
        </is>
      </c>
      <c r="D47" s="34">
        <f>($D$38+$D$39)/($D$45*$D$42)*(1+6*ABS($D$46)/$D$42)</f>
        <v/>
      </c>
      <c r="E47" s="24" t="inlineStr">
        <is>
          <t>t/m²</t>
        </is>
      </c>
    </row>
    <row r="48" ht="13.5" customHeight="1">
      <c r="B48" s="9" t="inlineStr">
        <is>
          <t>qmáx ≤ qn y |e| ≤ L/6</t>
        </is>
      </c>
      <c r="C48" s="29">
        <f>IF(AND($D$47&lt;=$D$36+0.0001,ABS($D$46)&lt;=$D$42/6),"CUMPLE","NO CUMPLE")</f>
        <v/>
      </c>
      <c r="D48" s="30" t="n"/>
      <c r="E48" s="30" t="n"/>
      <c r="F48" s="27" t="inlineStr">
        <is>
          <t>Si no cumple: aumente B o ajuste L</t>
        </is>
      </c>
    </row>
    <row r="50" ht="17" customHeight="1">
      <c r="B50" s="21" t="inlineStr">
        <is>
          <t>3. ANÁLISIS LONGITUDINAL (viga invertida, carga última uniforme)</t>
        </is>
      </c>
    </row>
    <row r="51" ht="13.5" customHeight="1">
      <c r="B51" s="9" t="inlineStr">
        <is>
          <t>Pu1 = 1.4·P1D + 1.7·P1L</t>
        </is>
      </c>
      <c r="C51" s="22" t="inlineStr">
        <is>
          <t>Pu1</t>
        </is>
      </c>
      <c r="D51" s="34">
        <f>1.4*$D$18+1.7*$D$19</f>
        <v/>
      </c>
      <c r="E51" s="24" t="inlineStr">
        <is>
          <t>t</t>
        </is>
      </c>
    </row>
    <row r="52" ht="13.5" customHeight="1">
      <c r="B52" s="9" t="inlineStr">
        <is>
          <t>Pu2 = 1.4·P2D + 1.7·P2L</t>
        </is>
      </c>
      <c r="C52" s="22" t="inlineStr">
        <is>
          <t>Pu2</t>
        </is>
      </c>
      <c r="D52" s="34">
        <f>1.4*$D$22+1.7*$D$23</f>
        <v/>
      </c>
      <c r="E52" s="24" t="inlineStr">
        <is>
          <t>t</t>
        </is>
      </c>
    </row>
    <row r="53" ht="13.5" customHeight="1">
      <c r="B53" s="9" t="inlineStr">
        <is>
          <t>Reacción por metro wu = (Pu1 + Pu2)/L</t>
        </is>
      </c>
      <c r="C53" s="22" t="inlineStr">
        <is>
          <t>wu</t>
        </is>
      </c>
      <c r="D53" s="34">
        <f>($D$51+$D$52)/$D$42</f>
        <v/>
      </c>
      <c r="E53" s="24" t="inlineStr">
        <is>
          <t>t/m</t>
        </is>
      </c>
    </row>
    <row r="54" ht="13.5" customHeight="1">
      <c r="B54" s="9" t="inlineStr">
        <is>
          <t>Eje de la columna 1 (desde el borde izquierdo)</t>
        </is>
      </c>
      <c r="C54" s="22" t="inlineStr">
        <is>
          <t>x1</t>
        </is>
      </c>
      <c r="D54" s="34">
        <f>$D$27</f>
        <v/>
      </c>
      <c r="E54" s="24" t="inlineStr">
        <is>
          <t>m</t>
        </is>
      </c>
    </row>
    <row r="55" ht="13.5" customHeight="1">
      <c r="B55" s="9" t="inlineStr">
        <is>
          <t>Eje de la columna 2</t>
        </is>
      </c>
      <c r="C55" s="22" t="inlineStr">
        <is>
          <t>x2</t>
        </is>
      </c>
      <c r="D55" s="34">
        <f>$D$27+$D$26</f>
        <v/>
      </c>
      <c r="E55" s="24" t="inlineStr">
        <is>
          <t>m</t>
        </is>
      </c>
    </row>
    <row r="56" ht="24" customHeight="1">
      <c r="B56" s="9" t="inlineStr">
        <is>
          <t>Excentricidad de la resultante última L/2 − (a1 + Pu2·L12/ΣPu)</t>
        </is>
      </c>
      <c r="C56" s="22" t="inlineStr">
        <is>
          <t>eu</t>
        </is>
      </c>
      <c r="D56" s="39">
        <f>$D$42/2-($D$27+$D$52*$D$26/($D$51+$D$52))</f>
        <v/>
      </c>
      <c r="E56" s="24" t="inlineStr">
        <is>
          <t>m</t>
        </is>
      </c>
    </row>
    <row r="57" ht="24" customHeight="1">
      <c r="B57" s="9" t="inlineStr">
        <is>
          <t>|eu| ≤ 0.02·L (reacción uniforme válida)</t>
        </is>
      </c>
      <c r="C57" s="29">
        <f>IF(ABS($D$56)&lt;=0.02*$D$42,"CUMPLE","NO CUMPLE")</f>
        <v/>
      </c>
      <c r="D57" s="30" t="n"/>
      <c r="E57" s="30" t="n"/>
      <c r="F57" s="27" t="inlineStr">
        <is>
          <t>Si no cumple: use el largo sugerido (resultante centrada)</t>
        </is>
      </c>
    </row>
    <row r="58" ht="13.5" customHeight="1">
      <c r="B58" s="9" t="inlineStr">
        <is>
          <t>Cortante nulo entre columnas x0 = Pu1/wu</t>
        </is>
      </c>
      <c r="C58" s="22" t="inlineStr">
        <is>
          <t>x0</t>
        </is>
      </c>
      <c r="D58" s="39">
        <f>MIN(MAX($D$51/$D$53,$D$54),$D$55)</f>
        <v/>
      </c>
      <c r="E58" s="24" t="inlineStr">
        <is>
          <t>m</t>
        </is>
      </c>
    </row>
    <row r="59" ht="13.5" customHeight="1">
      <c r="B59" s="9" t="inlineStr">
        <is>
          <t>Momento negativo máximo (tracción arriba)</t>
        </is>
      </c>
      <c r="C59" s="22" t="inlineStr">
        <is>
          <t>Mu−</t>
        </is>
      </c>
      <c r="D59" s="34">
        <f>MAX(0,$D$51*($D$58-$D$54)-$D$53*$D$58^2/2)</f>
        <v/>
      </c>
      <c r="E59" s="24" t="inlineStr">
        <is>
          <t>t·m</t>
        </is>
      </c>
    </row>
    <row r="60" ht="13.5" customHeight="1">
      <c r="B60" s="9" t="inlineStr">
        <is>
          <t>Volado izquierdo wu·(x1 − c1x/2)²/2</t>
        </is>
      </c>
      <c r="C60" s="22" t="inlineStr">
        <is>
          <t>Mu+</t>
        </is>
      </c>
      <c r="D60" s="34">
        <f>$D$53*MAX(0,$D$54-$D$20/200)^2/2</f>
        <v/>
      </c>
      <c r="E60" s="24" t="inlineStr">
        <is>
          <t>t·m</t>
        </is>
      </c>
    </row>
    <row r="61" ht="13.5" customHeight="1">
      <c r="B61" s="9" t="inlineStr">
        <is>
          <t>Volado derecho wu·(L − x2 − c2x/2)²/2</t>
        </is>
      </c>
      <c r="C61" s="22" t="inlineStr">
        <is>
          <t>Mu+</t>
        </is>
      </c>
      <c r="D61" s="34">
        <f>$D$53*MAX(0,$D$42-$D$55-$D$24/200)^2/2</f>
        <v/>
      </c>
      <c r="E61" s="24" t="inlineStr">
        <is>
          <t>t·m</t>
        </is>
      </c>
    </row>
    <row r="62" ht="13.5" customHeight="1">
      <c r="B62" s="9" t="inlineStr">
        <is>
          <t>En la cara interior de la columna 2</t>
        </is>
      </c>
      <c r="C62" s="22" t="inlineStr">
        <is>
          <t>Mu</t>
        </is>
      </c>
      <c r="D62" s="39">
        <f>$D$53*($D$55-$D$24/200)^2/2-$D$51*($D$55-$D$24/200-$D$54)</f>
        <v/>
      </c>
      <c r="E62" s="24" t="inlineStr">
        <is>
          <t>t·m</t>
        </is>
      </c>
      <c r="F62" s="27" t="inlineStr">
        <is>
          <t>Positivo = tracción abajo</t>
        </is>
      </c>
    </row>
    <row r="63" ht="13.5" customHeight="1">
      <c r="B63" s="9" t="inlineStr">
        <is>
          <t>Momento positivo máximo (tracción abajo)</t>
        </is>
      </c>
      <c r="C63" s="22" t="inlineStr">
        <is>
          <t>Mu+</t>
        </is>
      </c>
      <c r="D63" s="34">
        <f>MAX($D$60,$D$61,$D$62,0)</f>
        <v/>
      </c>
      <c r="E63" s="24" t="inlineStr">
        <is>
          <t>t·m</t>
        </is>
      </c>
    </row>
    <row r="65" ht="17" customHeight="1">
      <c r="B65" s="21" t="inlineStr">
        <is>
          <t>4. ACERO LONGITUDINAL (φ = 0.90)</t>
        </is>
      </c>
    </row>
    <row r="66" ht="13.5" customHeight="1">
      <c r="B66" s="9" t="inlineStr">
        <is>
          <t>Diámetro longitudinal</t>
        </is>
      </c>
      <c r="C66" s="22" t="inlineStr">
        <is>
          <t>db</t>
        </is>
      </c>
      <c r="D66" s="39">
        <f>INDEX(BAR_DB,MATCH($D$30,BAR_NOM,0))</f>
        <v/>
      </c>
      <c r="E66" s="24" t="inlineStr">
        <is>
          <t>cm</t>
        </is>
      </c>
    </row>
    <row r="67" ht="13.5" customHeight="1">
      <c r="B67" s="9" t="inlineStr">
        <is>
          <t>Área longitudinal</t>
        </is>
      </c>
      <c r="C67" s="22" t="inlineStr">
        <is>
          <t>Ab</t>
        </is>
      </c>
      <c r="D67" s="34">
        <f>INDEX(BAR_AS,MATCH($D$30,BAR_NOM,0))</f>
        <v/>
      </c>
      <c r="E67" s="24" t="inlineStr">
        <is>
          <t>cm²</t>
        </is>
      </c>
    </row>
    <row r="68" ht="13.5" customHeight="1">
      <c r="B68" s="9" t="inlineStr">
        <is>
          <t>Diámetro transversal</t>
        </is>
      </c>
      <c r="C68" s="22" t="inlineStr">
        <is>
          <t>db</t>
        </is>
      </c>
      <c r="D68" s="39">
        <f>INDEX(BAR_DB,MATCH($D$31,BAR_NOM,0))</f>
        <v/>
      </c>
      <c r="E68" s="24" t="inlineStr">
        <is>
          <t>cm</t>
        </is>
      </c>
    </row>
    <row r="69" ht="13.5" customHeight="1">
      <c r="B69" s="9" t="inlineStr">
        <is>
          <t>Área transversal</t>
        </is>
      </c>
      <c r="C69" s="22" t="inlineStr">
        <is>
          <t>Ab</t>
        </is>
      </c>
      <c r="D69" s="34">
        <f>INDEX(BAR_AS,MATCH($D$31,BAR_NOM,0))</f>
        <v/>
      </c>
      <c r="E69" s="24" t="inlineStr">
        <is>
          <t>cm²</t>
        </is>
      </c>
    </row>
    <row r="70" ht="24" customHeight="1">
      <c r="B70" s="9" t="inlineStr">
        <is>
          <t>Peralte efectivo longitudinal hz − 7.5 − dbT − dbL/2</t>
        </is>
      </c>
      <c r="C70" s="22" t="inlineStr">
        <is>
          <t>d</t>
        </is>
      </c>
      <c r="D70" s="34">
        <f>$D$29-7.5-$D$68-$D$66/2</f>
        <v/>
      </c>
      <c r="E70" s="24" t="inlineStr">
        <is>
          <t>cm</t>
        </is>
      </c>
      <c r="F70" s="27" t="inlineStr">
        <is>
          <t>La parrilla transversal va en la capa inferior</t>
        </is>
      </c>
    </row>
    <row r="71" ht="13.5" customHeight="1">
      <c r="B71" s="9" t="inlineStr">
        <is>
          <t>Ancho B en cm</t>
        </is>
      </c>
      <c r="C71" s="22" t="inlineStr">
        <is>
          <t>b</t>
        </is>
      </c>
      <c r="D71" s="28">
        <f>$D$45*100</f>
        <v/>
      </c>
      <c r="E71" s="24" t="inlineStr">
        <is>
          <t>cm</t>
        </is>
      </c>
    </row>
    <row r="72" ht="13.5" customHeight="1">
      <c r="B72" s="9" t="inlineStr">
        <is>
          <t>Factor β1</t>
        </is>
      </c>
      <c r="C72" s="22" t="inlineStr">
        <is>
          <t>β1</t>
        </is>
      </c>
      <c r="D72" s="39">
        <f>IF($D$11&lt;=280,0.85,MAX(0.65,0.85-0.05*($D$11-280)/70))</f>
        <v/>
      </c>
      <c r="E72" s="24" t="inlineStr"/>
    </row>
    <row r="73" ht="13.5" customHeight="1">
      <c r="B73" s="9" t="inlineStr">
        <is>
          <t>Control de la sección superior (Mu−)</t>
        </is>
      </c>
      <c r="C73" s="22" t="inlineStr"/>
      <c r="D73" s="39">
        <f>1-2*$D$59*100000/(0.9*0.85*$D$11*$D$71*$D$70^2)</f>
        <v/>
      </c>
      <c r="E73" s="24" t="inlineStr"/>
    </row>
    <row r="74" ht="13.5" customHeight="1">
      <c r="B74" s="9" t="inlineStr">
        <is>
          <t>Sección suficiente superior (Mu−)</t>
        </is>
      </c>
      <c r="C74" s="29">
        <f>IF($D$73&gt;=0,"CUMPLE","NO CUMPLE")</f>
        <v/>
      </c>
      <c r="D74" s="30" t="n"/>
      <c r="E74" s="30" t="n"/>
      <c r="F74" s="27" t="inlineStr">
        <is>
          <t>Si no cumple: aumente hz</t>
        </is>
      </c>
    </row>
    <row r="75" ht="13.5" customHeight="1">
      <c r="B75" s="9" t="inlineStr">
        <is>
          <t>As superior (Mu−)</t>
        </is>
      </c>
      <c r="C75" s="22" t="inlineStr">
        <is>
          <t>As</t>
        </is>
      </c>
      <c r="D75" s="34">
        <f>MAX(0.85*$D$11*$D$71*$D$70/$D$12*(1-SQRT(MAX(0,1-2*$D$59*100000/(0.9*0.85*$D$11*$D$71*$D$70^2)))),0.0012*$D$71*$D$29)</f>
        <v/>
      </c>
      <c r="E75" s="24" t="inlineStr">
        <is>
          <t>cm²</t>
        </is>
      </c>
      <c r="F75" s="27" t="inlineStr">
        <is>
          <t>Mínimo 0.0012·b·h</t>
        </is>
      </c>
    </row>
    <row r="76" ht="13.5" customHeight="1">
      <c r="B76" s="9" t="inlineStr">
        <is>
          <t>As ≤ 0.75·ρb·b·d</t>
        </is>
      </c>
      <c r="C76" s="29">
        <f>IF($D$75&lt;=0.75*0.85*$D$72*$D$11/$D$12*6000/(6000+$D$12)*$D$71*$D$70,"CUMPLE","NO CUMPLE")</f>
        <v/>
      </c>
      <c r="D76" s="30" t="n"/>
      <c r="E76" s="30" t="n"/>
    </row>
    <row r="77" ht="13.5" customHeight="1">
      <c r="B77" s="9" t="inlineStr">
        <is>
          <t>Varillas superior (Mu−)</t>
        </is>
      </c>
      <c r="C77" s="22" t="inlineStr">
        <is>
          <t>n</t>
        </is>
      </c>
      <c r="D77" s="28">
        <f>MAX(CEILING($D$75/$D$67,1),CEILING(($D$71-15)/MIN(3*$D$29,40),1)+1)</f>
        <v/>
      </c>
      <c r="E77" s="24" t="inlineStr"/>
    </row>
    <row r="78" ht="13.5" customHeight="1">
      <c r="B78" s="9" t="inlineStr">
        <is>
          <t>Espaciamiento</t>
        </is>
      </c>
      <c r="C78" s="22" t="inlineStr">
        <is>
          <t>s</t>
        </is>
      </c>
      <c r="D78" s="26">
        <f>FLOOR(($D$71-15-$D$66)/($D$77-1),2.5)</f>
        <v/>
      </c>
      <c r="E78" s="24" t="inlineStr">
        <is>
          <t>cm</t>
        </is>
      </c>
    </row>
    <row r="79" ht="13.5" customHeight="1">
      <c r="B79" s="9" t="inlineStr">
        <is>
          <t>ACERO LONGITUDINAL SUPERIOR</t>
        </is>
      </c>
      <c r="C79" s="22" t="inlineStr"/>
      <c r="D79" s="44">
        <f>$D$77&amp;" Ø "&amp;$D$30&amp;" @ "&amp;FIXED($D$78/100,IF(MOD(ROUND($D$78*10,0),50)=0,2,3))&amp;" m"</f>
        <v/>
      </c>
      <c r="E79" s="30" t="n"/>
      <c r="F79" s="30" t="n"/>
    </row>
    <row r="80" ht="13.5" customHeight="1">
      <c r="B80" s="9" t="inlineStr">
        <is>
          <t>Control de la sección inferior (Mu+)</t>
        </is>
      </c>
      <c r="C80" s="22" t="inlineStr"/>
      <c r="D80" s="39">
        <f>1-2*$D$63*100000/(0.9*0.85*$D$11*$D$71*$D$70^2)</f>
        <v/>
      </c>
      <c r="E80" s="24" t="inlineStr"/>
    </row>
    <row r="81" ht="13.5" customHeight="1">
      <c r="B81" s="9" t="inlineStr">
        <is>
          <t>Sección suficiente inferior (Mu+)</t>
        </is>
      </c>
      <c r="C81" s="29">
        <f>IF($D$80&gt;=0,"CUMPLE","NO CUMPLE")</f>
        <v/>
      </c>
      <c r="D81" s="30" t="n"/>
      <c r="E81" s="30" t="n"/>
      <c r="F81" s="27" t="inlineStr">
        <is>
          <t>Si no cumple: aumente hz</t>
        </is>
      </c>
    </row>
    <row r="82" ht="13.5" customHeight="1">
      <c r="B82" s="9" t="inlineStr">
        <is>
          <t>As inferior (Mu+)</t>
        </is>
      </c>
      <c r="C82" s="22" t="inlineStr">
        <is>
          <t>As</t>
        </is>
      </c>
      <c r="D82" s="34">
        <f>MAX(0.85*$D$11*$D$71*$D$70/$D$12*(1-SQRT(MAX(0,1-2*$D$63*100000/(0.9*0.85*$D$11*$D$71*$D$70^2)))),0.0018*$D$71*$D$29)</f>
        <v/>
      </c>
      <c r="E82" s="24" t="inlineStr">
        <is>
          <t>cm²</t>
        </is>
      </c>
      <c r="F82" s="27" t="inlineStr">
        <is>
          <t>Mínimo 0.0018·b·h</t>
        </is>
      </c>
    </row>
    <row r="83" ht="13.5" customHeight="1">
      <c r="B83" s="9" t="inlineStr">
        <is>
          <t>As ≤ 0.75·ρb·b·d</t>
        </is>
      </c>
      <c r="C83" s="29">
        <f>IF($D$82&lt;=0.75*0.85*$D$72*$D$11/$D$12*6000/(6000+$D$12)*$D$71*$D$70,"CUMPLE","NO CUMPLE")</f>
        <v/>
      </c>
      <c r="D83" s="30" t="n"/>
      <c r="E83" s="30" t="n"/>
    </row>
    <row r="84" ht="13.5" customHeight="1">
      <c r="B84" s="9" t="inlineStr">
        <is>
          <t>Varillas inferior (Mu+)</t>
        </is>
      </c>
      <c r="C84" s="22" t="inlineStr">
        <is>
          <t>n</t>
        </is>
      </c>
      <c r="D84" s="28">
        <f>MAX(CEILING($D$82/$D$67,1),CEILING(($D$71-15)/MIN(3*$D$29,40),1)+1)</f>
        <v/>
      </c>
      <c r="E84" s="24" t="inlineStr"/>
    </row>
    <row r="85" ht="13.5" customHeight="1">
      <c r="B85" s="9" t="inlineStr">
        <is>
          <t>Espaciamiento</t>
        </is>
      </c>
      <c r="C85" s="22" t="inlineStr">
        <is>
          <t>s</t>
        </is>
      </c>
      <c r="D85" s="26">
        <f>FLOOR(($D$71-15-$D$66)/($D$84-1),2.5)</f>
        <v/>
      </c>
      <c r="E85" s="24" t="inlineStr">
        <is>
          <t>cm</t>
        </is>
      </c>
    </row>
    <row r="86" ht="13.5" customHeight="1">
      <c r="B86" s="9" t="inlineStr">
        <is>
          <t>ACERO LONGITUDINAL INFERIOR</t>
        </is>
      </c>
      <c r="C86" s="22" t="inlineStr"/>
      <c r="D86" s="44">
        <f>$D$84&amp;" Ø "&amp;$D$30&amp;" @ "&amp;FIXED($D$85/100,IF(MOD(ROUND($D$85*10,0),50)=0,2,3))&amp;" m"</f>
        <v/>
      </c>
      <c r="E86" s="30" t="n"/>
      <c r="F86" s="30" t="n"/>
    </row>
    <row r="88" ht="17" customHeight="1">
      <c r="B88" s="21" t="inlineStr">
        <is>
          <t>5. CORTANTE Y PUNZONAMIENTO</t>
        </is>
      </c>
    </row>
    <row r="89" ht="13.5" customHeight="1">
      <c r="B89" s="9" t="inlineStr">
        <is>
          <t>Presión última qu = wu/B</t>
        </is>
      </c>
      <c r="C89" s="22" t="inlineStr">
        <is>
          <t>qu</t>
        </is>
      </c>
      <c r="D89" s="34">
        <f>$D$53/$D$45</f>
        <v/>
      </c>
      <c r="E89" s="24" t="inlineStr">
        <is>
          <t>t/m²</t>
        </is>
      </c>
    </row>
    <row r="90" ht="24" customHeight="1">
      <c r="B90" s="9" t="inlineStr">
        <is>
          <t>Cortante a «d» de la cara interior de la columna 1</t>
        </is>
      </c>
      <c r="C90" s="22" t="inlineStr">
        <is>
          <t>Vu</t>
        </is>
      </c>
      <c r="D90" s="34">
        <f>ABS(($D$53*($D$54+$D$20/200+$D$70/100)-$D$51*(($D$54+$D$20/200+$D$70/100)&gt;$D$54)-$D$52*(($D$54+$D$20/200+$D$70/100)&gt;$D$55)))</f>
        <v/>
      </c>
      <c r="E90" s="24" t="inlineStr">
        <is>
          <t>t</t>
        </is>
      </c>
    </row>
    <row r="91" ht="24" customHeight="1">
      <c r="B91" s="9" t="inlineStr">
        <is>
          <t>Cortante a «d» de la cara interior de la columna 2</t>
        </is>
      </c>
      <c r="C91" s="22" t="inlineStr">
        <is>
          <t>Vu</t>
        </is>
      </c>
      <c r="D91" s="34">
        <f>ABS(($D$53*($D$55-$D$24/200-$D$70/100)-$D$51*(($D$55-$D$24/200-$D$70/100)&gt;$D$54)-$D$52*(($D$55-$D$24/200-$D$70/100)&gt;$D$55)))</f>
        <v/>
      </c>
      <c r="E91" s="24" t="inlineStr">
        <is>
          <t>t</t>
        </is>
      </c>
    </row>
    <row r="92" ht="13.5" customHeight="1">
      <c r="B92" s="9" t="inlineStr">
        <is>
          <t>Cortante a «d» en el volado derecho</t>
        </is>
      </c>
      <c r="C92" s="22" t="inlineStr">
        <is>
          <t>Vu</t>
        </is>
      </c>
      <c r="D92" s="34">
        <f>MAX(0,$D$53*($D$42-$D$55-$D$24/200-$D$70/100))</f>
        <v/>
      </c>
      <c r="E92" s="24" t="inlineStr">
        <is>
          <t>t</t>
        </is>
      </c>
    </row>
    <row r="93" ht="13.5" customHeight="1">
      <c r="B93" s="9" t="inlineStr">
        <is>
          <t>Cortante a «d» en el volado izquierdo</t>
        </is>
      </c>
      <c r="C93" s="22" t="inlineStr">
        <is>
          <t>Vu</t>
        </is>
      </c>
      <c r="D93" s="34">
        <f>MAX(0,$D$53*($D$54-$D$20/200-$D$70/100))</f>
        <v/>
      </c>
      <c r="E93" s="24" t="inlineStr">
        <is>
          <t>t</t>
        </is>
      </c>
    </row>
    <row r="94" ht="13.5" customHeight="1">
      <c r="B94" s="9" t="inlineStr">
        <is>
          <t>φVc = 0.85·0.53·√f'c·B·d</t>
        </is>
      </c>
      <c r="C94" s="22" t="inlineStr">
        <is>
          <t>φVc</t>
        </is>
      </c>
      <c r="D94" s="34">
        <f>0.85*0.53*SQRT($D$11)*$D$71*$D$70/1000</f>
        <v/>
      </c>
      <c r="E94" s="24" t="inlineStr">
        <is>
          <t>t</t>
        </is>
      </c>
    </row>
    <row r="95" ht="13.5" customHeight="1">
      <c r="B95" s="9" t="inlineStr">
        <is>
          <t>máx(Vu) ≤ φVc</t>
        </is>
      </c>
      <c r="C95" s="29">
        <f>IF(MAX($D$93,$D$90,$D$91,$D$92)&lt;=$D$94,"CUMPLE","NO CUMPLE")</f>
        <v/>
      </c>
      <c r="D95" s="30" t="n"/>
      <c r="E95" s="30" t="n"/>
      <c r="F95" s="27" t="inlineStr">
        <is>
          <t>Si no cumple: aumente hz</t>
        </is>
      </c>
    </row>
    <row r="96">
      <c r="B96" s="4" t="inlineStr">
        <is>
          <t>Punzonamiento en la columna 1</t>
        </is>
      </c>
    </row>
    <row r="97" ht="13.5" customHeight="1">
      <c r="B97" s="9" t="inlineStr">
        <is>
          <t>Distancia de la cara exterior al borde</t>
        </is>
      </c>
      <c r="C97" s="22" t="inlineStr"/>
      <c r="D97" s="26">
        <f>$D$27*100-$D$20/2</f>
        <v/>
      </c>
      <c r="E97" s="24" t="inlineStr">
        <is>
          <t>cm</t>
        </is>
      </c>
      <c r="F97" s="27" t="inlineStr">
        <is>
          <t>Si &lt; d/2: perímetro de 3 lados (αs = 30)</t>
        </is>
      </c>
    </row>
    <row r="98" ht="13.5" customHeight="1">
      <c r="B98" s="9" t="inlineStr">
        <is>
          <t>Perímetro crítico bo</t>
        </is>
      </c>
      <c r="C98" s="22" t="inlineStr">
        <is>
          <t>bo</t>
        </is>
      </c>
      <c r="D98" s="26">
        <f>IF($D$97&lt;$D$70/2,2*($D$20+$D$97+$D$70/2)+($D$21+$D$70),2*($D$20+$D$70)+2*($D$21+$D$70))</f>
        <v/>
      </c>
      <c r="E98" s="24" t="inlineStr">
        <is>
          <t>cm</t>
        </is>
      </c>
    </row>
    <row r="99" ht="13.5" customHeight="1">
      <c r="B99" s="9" t="inlineStr">
        <is>
          <t>Área dentro del perímetro</t>
        </is>
      </c>
      <c r="C99" s="22" t="inlineStr">
        <is>
          <t>Ao</t>
        </is>
      </c>
      <c r="D99" s="39">
        <f>IF($D$97&lt;$D$70/2,($D$20+$D$97+$D$70/2)*($D$21+$D$70),($D$20+$D$70)*($D$21+$D$70))/10000</f>
        <v/>
      </c>
      <c r="E99" s="24" t="inlineStr">
        <is>
          <t>m²</t>
        </is>
      </c>
    </row>
    <row r="100" ht="13.5" customHeight="1">
      <c r="B100" s="9" t="inlineStr">
        <is>
          <t>αs</t>
        </is>
      </c>
      <c r="C100" s="22" t="inlineStr">
        <is>
          <t>αs</t>
        </is>
      </c>
      <c r="D100" s="28">
        <f>IF($D$97&lt;$D$70/2,30,40)</f>
        <v/>
      </c>
      <c r="E100" s="24" t="inlineStr"/>
    </row>
    <row r="101" ht="13.5" customHeight="1">
      <c r="B101" s="9" t="inlineStr">
        <is>
          <t>Vu = Pu − qu·Ao</t>
        </is>
      </c>
      <c r="C101" s="22" t="inlineStr">
        <is>
          <t>Vu</t>
        </is>
      </c>
      <c r="D101" s="34">
        <f>$D$51-$D$89*$D$99</f>
        <v/>
      </c>
      <c r="E101" s="24" t="inlineStr">
        <is>
          <t>t</t>
        </is>
      </c>
    </row>
    <row r="102" ht="13.5" customHeight="1">
      <c r="B102" s="9" t="inlineStr">
        <is>
          <t>φVc = 0.85·mín(ecuaciones 11.12.2.1)</t>
        </is>
      </c>
      <c r="C102" s="22" t="inlineStr">
        <is>
          <t>φVc</t>
        </is>
      </c>
      <c r="D102" s="34">
        <f>0.85*MIN(0.53*(1+2/(MAX($D$20,$D$21)/MIN($D$20,$D$21))),0.27*($D$100*$D$70/$D$98+2),1.06)*SQRT($D$11)*$D$98*$D$70/1000</f>
        <v/>
      </c>
      <c r="E102" s="24" t="inlineStr">
        <is>
          <t>t</t>
        </is>
      </c>
    </row>
    <row r="103" ht="13.5" customHeight="1">
      <c r="B103" s="9" t="inlineStr">
        <is>
          <t>Vu ≤ φVc</t>
        </is>
      </c>
      <c r="C103" s="29">
        <f>IF($D$101&lt;=$D$102,"CUMPLE","NO CUMPLE")</f>
        <v/>
      </c>
      <c r="D103" s="30" t="n"/>
      <c r="E103" s="30" t="n"/>
      <c r="F103" s="27" t="inlineStr">
        <is>
          <t>Si no cumple: aumente hz</t>
        </is>
      </c>
    </row>
    <row r="104">
      <c r="B104" s="4" t="inlineStr">
        <is>
          <t>Punzonamiento en la columna 2</t>
        </is>
      </c>
    </row>
    <row r="105" ht="13.5" customHeight="1">
      <c r="B105" s="9" t="inlineStr">
        <is>
          <t>Distancia de la cara exterior al borde</t>
        </is>
      </c>
      <c r="C105" s="22" t="inlineStr"/>
      <c r="D105" s="26">
        <f>($D$42-$D$55)*100-$D$24/2</f>
        <v/>
      </c>
      <c r="E105" s="24" t="inlineStr">
        <is>
          <t>cm</t>
        </is>
      </c>
      <c r="F105" s="27" t="inlineStr">
        <is>
          <t>Si &lt; d/2: perímetro de 3 lados (αs = 30)</t>
        </is>
      </c>
    </row>
    <row r="106" ht="13.5" customHeight="1">
      <c r="B106" s="9" t="inlineStr">
        <is>
          <t>Perímetro crítico bo</t>
        </is>
      </c>
      <c r="C106" s="22" t="inlineStr">
        <is>
          <t>bo</t>
        </is>
      </c>
      <c r="D106" s="26">
        <f>IF($D$105&lt;$D$70/2,2*($D$24+$D$105+$D$70/2)+($D$25+$D$70),2*($D$24+$D$70)+2*($D$25+$D$70))</f>
        <v/>
      </c>
      <c r="E106" s="24" t="inlineStr">
        <is>
          <t>cm</t>
        </is>
      </c>
    </row>
    <row r="107" ht="13.5" customHeight="1">
      <c r="B107" s="9" t="inlineStr">
        <is>
          <t>Área dentro del perímetro</t>
        </is>
      </c>
      <c r="C107" s="22" t="inlineStr">
        <is>
          <t>Ao</t>
        </is>
      </c>
      <c r="D107" s="39">
        <f>IF($D$105&lt;$D$70/2,($D$24+$D$105+$D$70/2)*($D$25+$D$70),($D$24+$D$70)*($D$25+$D$70))/10000</f>
        <v/>
      </c>
      <c r="E107" s="24" t="inlineStr">
        <is>
          <t>m²</t>
        </is>
      </c>
    </row>
    <row r="108" ht="13.5" customHeight="1">
      <c r="B108" s="9" t="inlineStr">
        <is>
          <t>αs</t>
        </is>
      </c>
      <c r="C108" s="22" t="inlineStr">
        <is>
          <t>αs</t>
        </is>
      </c>
      <c r="D108" s="28">
        <f>IF($D$105&lt;$D$70/2,30,40)</f>
        <v/>
      </c>
      <c r="E108" s="24" t="inlineStr"/>
    </row>
    <row r="109" ht="13.5" customHeight="1">
      <c r="B109" s="9" t="inlineStr">
        <is>
          <t>Vu = Pu − qu·Ao</t>
        </is>
      </c>
      <c r="C109" s="22" t="inlineStr">
        <is>
          <t>Vu</t>
        </is>
      </c>
      <c r="D109" s="34">
        <f>$D$52-$D$89*$D$107</f>
        <v/>
      </c>
      <c r="E109" s="24" t="inlineStr">
        <is>
          <t>t</t>
        </is>
      </c>
    </row>
    <row r="110" ht="13.5" customHeight="1">
      <c r="B110" s="9" t="inlineStr">
        <is>
          <t>φVc = 0.85·mín(ecuaciones 11.12.2.1)</t>
        </is>
      </c>
      <c r="C110" s="22" t="inlineStr">
        <is>
          <t>φVc</t>
        </is>
      </c>
      <c r="D110" s="34">
        <f>0.85*MIN(0.53*(1+2/(MAX($D$24,$D$25)/MIN($D$24,$D$25))),0.27*($D$108*$D$70/$D$106+2),1.06)*SQRT($D$11)*$D$106*$D$70/1000</f>
        <v/>
      </c>
      <c r="E110" s="24" t="inlineStr">
        <is>
          <t>t</t>
        </is>
      </c>
    </row>
    <row r="111" ht="13.5" customHeight="1">
      <c r="B111" s="9" t="inlineStr">
        <is>
          <t>Vu ≤ φVc</t>
        </is>
      </c>
      <c r="C111" s="29">
        <f>IF($D$109&lt;=$D$110,"CUMPLE","NO CUMPLE")</f>
        <v/>
      </c>
      <c r="D111" s="30" t="n"/>
      <c r="E111" s="30" t="n"/>
      <c r="F111" s="27" t="inlineStr">
        <is>
          <t>Si no cumple: aumente hz</t>
        </is>
      </c>
    </row>
    <row r="113" ht="17" customHeight="1">
      <c r="B113" s="21" t="inlineStr">
        <is>
          <t>6. VIGAS TRANSVERSALES BAJO LAS COLUMNAS (ACI 15.5 / práctica)</t>
        </is>
      </c>
    </row>
    <row r="114" ht="13.5" customHeight="1">
      <c r="B114" s="9" t="inlineStr">
        <is>
          <t>Peralte efectivo transversal hz − 7.5 − dbT/2</t>
        </is>
      </c>
      <c r="C114" s="22" t="inlineStr">
        <is>
          <t>dt</t>
        </is>
      </c>
      <c r="D114" s="34">
        <f>$D$29-7.5-$D$68/2</f>
        <v/>
      </c>
      <c r="E114" s="24" t="inlineStr">
        <is>
          <t>cm</t>
        </is>
      </c>
    </row>
    <row r="115">
      <c r="B115" s="4" t="inlineStr">
        <is>
          <t>Columna 1</t>
        </is>
      </c>
    </row>
    <row r="116" ht="13.5" customHeight="1">
      <c r="B116" s="9" t="inlineStr">
        <is>
          <t>Ancho de la franja c + d (dentro de la zapata)</t>
        </is>
      </c>
      <c r="C116" s="22" t="inlineStr">
        <is>
          <t>bt</t>
        </is>
      </c>
      <c r="D116" s="26">
        <f>MIN($D$20+$D$114,$D$20+IF(1=1,$D$27*100-$D$20/2,($D$42-$D$55)*100-$D$20/2)+$D$114/2)</f>
        <v/>
      </c>
      <c r="E116" s="24" t="inlineStr">
        <is>
          <t>cm</t>
        </is>
      </c>
    </row>
    <row r="117" ht="13.5" customHeight="1">
      <c r="B117" s="9" t="inlineStr">
        <is>
          <t>Mu = (Pu/B)·v²/2, v = (B − cy)/2</t>
        </is>
      </c>
      <c r="C117" s="22" t="inlineStr">
        <is>
          <t>Mu</t>
        </is>
      </c>
      <c r="D117" s="34">
        <f>$D$51/$D$45*(($D$45-$D$21/100)/2)^2/2</f>
        <v/>
      </c>
      <c r="E117" s="24" t="inlineStr">
        <is>
          <t>t·m</t>
        </is>
      </c>
    </row>
    <row r="118" ht="13.5" customHeight="1">
      <c r="B118" s="9" t="inlineStr">
        <is>
          <t>As transversal</t>
        </is>
      </c>
      <c r="C118" s="22" t="inlineStr">
        <is>
          <t>As</t>
        </is>
      </c>
      <c r="D118" s="34">
        <f>MAX(0.85*$D$11*$D$116*$D$114/$D$12*(1-SQRT(MAX(0,1-2*$D$117*100000/(0.9*0.85*$D$11*$D$116*$D$114^2)))),0.0018*$D$116*$D$29)</f>
        <v/>
      </c>
      <c r="E118" s="24" t="inlineStr">
        <is>
          <t>cm²</t>
        </is>
      </c>
    </row>
    <row r="119" ht="13.5" customHeight="1">
      <c r="B119" s="9" t="inlineStr">
        <is>
          <t>Varillas en la franja</t>
        </is>
      </c>
      <c r="C119" s="22" t="inlineStr">
        <is>
          <t>n</t>
        </is>
      </c>
      <c r="D119" s="28">
        <f>MAX(2,CEILING($D$118/$D$69,1))</f>
        <v/>
      </c>
      <c r="E119" s="24" t="inlineStr"/>
    </row>
    <row r="120" ht="13.5" customHeight="1">
      <c r="B120" s="9" t="inlineStr">
        <is>
          <t>Espaciamiento en la franja</t>
        </is>
      </c>
      <c r="C120" s="22" t="inlineStr">
        <is>
          <t>s</t>
        </is>
      </c>
      <c r="D120" s="26">
        <f>FLOOR($D$116/$D$119,2.5)</f>
        <v/>
      </c>
      <c r="E120" s="24" t="inlineStr">
        <is>
          <t>cm</t>
        </is>
      </c>
    </row>
    <row r="121" ht="13.5" customHeight="1">
      <c r="B121" s="9" t="inlineStr">
        <is>
          <t>Espaciamiento ≥ 10 cm</t>
        </is>
      </c>
      <c r="C121" s="29">
        <f>IF($D$120&gt;=10,"CUMPLE","NO CUMPLE")</f>
        <v/>
      </c>
      <c r="D121" s="30" t="n"/>
      <c r="E121" s="30" t="n"/>
      <c r="F121" s="27" t="inlineStr">
        <is>
          <t>Use varilla mayor</t>
        </is>
      </c>
    </row>
    <row r="122">
      <c r="B122" s="4" t="inlineStr">
        <is>
          <t>Columna 2</t>
        </is>
      </c>
    </row>
    <row r="123" ht="13.5" customHeight="1">
      <c r="B123" s="9" t="inlineStr">
        <is>
          <t>Ancho de la franja c + d (dentro de la zapata)</t>
        </is>
      </c>
      <c r="C123" s="22" t="inlineStr">
        <is>
          <t>bt</t>
        </is>
      </c>
      <c r="D123" s="26">
        <f>MIN($D$24+$D$114,$D$24+IF(2=1,$D$27*100-$D$24/2,($D$42-$D$55)*100-$D$24/2)+$D$114/2)</f>
        <v/>
      </c>
      <c r="E123" s="24" t="inlineStr">
        <is>
          <t>cm</t>
        </is>
      </c>
    </row>
    <row r="124" ht="13.5" customHeight="1">
      <c r="B124" s="9" t="inlineStr">
        <is>
          <t>Mu = (Pu/B)·v²/2, v = (B − cy)/2</t>
        </is>
      </c>
      <c r="C124" s="22" t="inlineStr">
        <is>
          <t>Mu</t>
        </is>
      </c>
      <c r="D124" s="34">
        <f>$D$52/$D$45*(($D$45-$D$25/100)/2)^2/2</f>
        <v/>
      </c>
      <c r="E124" s="24" t="inlineStr">
        <is>
          <t>t·m</t>
        </is>
      </c>
    </row>
    <row r="125" ht="13.5" customHeight="1">
      <c r="B125" s="9" t="inlineStr">
        <is>
          <t>As transversal</t>
        </is>
      </c>
      <c r="C125" s="22" t="inlineStr">
        <is>
          <t>As</t>
        </is>
      </c>
      <c r="D125" s="34">
        <f>MAX(0.85*$D$11*$D$123*$D$114/$D$12*(1-SQRT(MAX(0,1-2*$D$124*100000/(0.9*0.85*$D$11*$D$123*$D$114^2)))),0.0018*$D$123*$D$29)</f>
        <v/>
      </c>
      <c r="E125" s="24" t="inlineStr">
        <is>
          <t>cm²</t>
        </is>
      </c>
    </row>
    <row r="126" ht="13.5" customHeight="1">
      <c r="B126" s="9" t="inlineStr">
        <is>
          <t>Varillas en la franja</t>
        </is>
      </c>
      <c r="C126" s="22" t="inlineStr">
        <is>
          <t>n</t>
        </is>
      </c>
      <c r="D126" s="28">
        <f>MAX(2,CEILING($D$125/$D$69,1))</f>
        <v/>
      </c>
      <c r="E126" s="24" t="inlineStr"/>
    </row>
    <row r="127" ht="13.5" customHeight="1">
      <c r="B127" s="9" t="inlineStr">
        <is>
          <t>Espaciamiento en la franja</t>
        </is>
      </c>
      <c r="C127" s="22" t="inlineStr">
        <is>
          <t>s</t>
        </is>
      </c>
      <c r="D127" s="26">
        <f>FLOOR($D$123/$D$126,2.5)</f>
        <v/>
      </c>
      <c r="E127" s="24" t="inlineStr">
        <is>
          <t>cm</t>
        </is>
      </c>
    </row>
    <row r="128" ht="13.5" customHeight="1">
      <c r="B128" s="9" t="inlineStr">
        <is>
          <t>Espaciamiento ≥ 10 cm</t>
        </is>
      </c>
      <c r="C128" s="29">
        <f>IF($D$127&gt;=10,"CUMPLE","NO CUMPLE")</f>
        <v/>
      </c>
      <c r="D128" s="30" t="n"/>
      <c r="E128" s="30" t="n"/>
      <c r="F128" s="27" t="inlineStr">
        <is>
          <t>Use varilla mayor</t>
        </is>
      </c>
    </row>
    <row r="129" ht="13.5" customHeight="1">
      <c r="B129" s="9" t="inlineStr">
        <is>
          <t>Resto: 0.0018·hz por metro con ØT</t>
        </is>
      </c>
      <c r="C129" s="22" t="inlineStr">
        <is>
          <t>s</t>
        </is>
      </c>
      <c r="D129" s="26">
        <f>MIN(FLOOR($D$69/(0.0018*$D$29)/100*100*100/100,2.5),3*$D$29,40)</f>
        <v/>
      </c>
      <c r="E129" s="24" t="inlineStr">
        <is>
          <t>cm</t>
        </is>
      </c>
    </row>
    <row r="130" ht="13.5" customHeight="1">
      <c r="B130" s="9" t="inlineStr">
        <is>
          <t>ACERO TRANSVERSAL</t>
        </is>
      </c>
      <c r="C130" s="22" t="inlineStr"/>
      <c r="D130" s="44">
        <f>"Col. 1: "&amp;$D$119&amp;" Ø "&amp;$D$31&amp;" @ "&amp;FIXED($D$120/100,IF(MOD(ROUND($D$120*10,0),50)=0,2,3))&amp;" · Col. 2: "&amp;$D$126&amp;" Ø "&amp;$D$31&amp;" @ "&amp;FIXED($D$127/100,IF(MOD(ROUND($D$127*10,0),50)=0,2,3))&amp;" · resto @ "&amp;FIXED($D$129/100,IF(MOD(ROUND($D$129*10,0),50)=0,2,3))&amp;" m"</f>
        <v/>
      </c>
      <c r="E130" s="30" t="n"/>
      <c r="F130" s="30" t="n"/>
    </row>
    <row r="132" ht="17" customHeight="1">
      <c r="B132" s="21" t="inlineStr">
        <is>
          <t>7. RESUMEN</t>
        </is>
      </c>
    </row>
    <row r="133" ht="13.5" customHeight="1">
      <c r="B133" s="9" t="inlineStr">
        <is>
          <t>Zapata</t>
        </is>
      </c>
      <c r="C133" s="22" t="inlineStr"/>
      <c r="D133" s="44">
        <f>FIXED($D$42,2)&amp;" × "&amp;FIXED($D$45,2)&amp;" × "&amp;FIXED($D$29/100,2)&amp;" m"</f>
        <v/>
      </c>
      <c r="E133" s="30" t="n"/>
      <c r="F133" s="30" t="n"/>
    </row>
    <row r="134" ht="13.5" customHeight="1">
      <c r="B134" s="9" t="inlineStr">
        <is>
          <t>Longitudinal superior · inferior</t>
        </is>
      </c>
      <c r="C134" s="22" t="inlineStr"/>
      <c r="D134" s="44">
        <f>$D$79&amp;" · "&amp;$D$86</f>
        <v/>
      </c>
      <c r="E134" s="30" t="n"/>
      <c r="F134" s="30" t="n"/>
    </row>
    <row r="135" ht="13.5" customHeight="1">
      <c r="B135" s="9" t="inlineStr">
        <is>
          <t>ESTADO GENERAL DEL DISEÑO</t>
        </is>
      </c>
      <c r="C135" s="29">
        <f>IF(AND($C$37="CUMPLE",$C$43="CUMPLE",$C$48="CUMPLE",$C$57="CUMPLE",$C$74="CUMPLE",$C$76="CUMPLE",$C$81="CUMPLE",$C$83="CUMPLE",$C$95="CUMPLE",$C$103="CUMPLE",$C$111="CUMPLE",$C$121="CUMPLE",$C$128="CUMPLE"),"CUMPLE","NO CUMPLE")</f>
        <v/>
      </c>
      <c r="D135" s="30" t="n"/>
      <c r="E135" s="30" t="n"/>
      <c r="F135" s="27" t="inlineStr">
        <is>
          <t>Revise las líneas en rojo</t>
        </is>
      </c>
    </row>
    <row r="137" ht="17" customHeight="1">
      <c r="B137" s="21" t="inlineStr">
        <is>
          <t>8. CROQUIS EN PLANTA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4">
    <mergeCell ref="B113:F113"/>
    <mergeCell ref="C7:F7"/>
    <mergeCell ref="C121:E121"/>
    <mergeCell ref="C43:E43"/>
    <mergeCell ref="C95:E95"/>
    <mergeCell ref="D134:F134"/>
    <mergeCell ref="C3:F3"/>
    <mergeCell ref="C76:E76"/>
    <mergeCell ref="B2:F2"/>
    <mergeCell ref="C6:F6"/>
    <mergeCell ref="C48:E48"/>
    <mergeCell ref="C135:E135"/>
    <mergeCell ref="D86:F86"/>
    <mergeCell ref="B1:F1"/>
    <mergeCell ref="D130:F130"/>
    <mergeCell ref="B132:F132"/>
    <mergeCell ref="C5:F5"/>
    <mergeCell ref="B88:F88"/>
    <mergeCell ref="C81:E81"/>
    <mergeCell ref="D133:F133"/>
    <mergeCell ref="C57:E57"/>
    <mergeCell ref="C37:E37"/>
    <mergeCell ref="C4:F4"/>
    <mergeCell ref="B10:F10"/>
    <mergeCell ref="D79:F79"/>
    <mergeCell ref="C111:E111"/>
    <mergeCell ref="B137:F137"/>
    <mergeCell ref="C83:E83"/>
    <mergeCell ref="B65:F65"/>
    <mergeCell ref="C74:E74"/>
    <mergeCell ref="C128:E128"/>
    <mergeCell ref="B50:F50"/>
    <mergeCell ref="C103:E103"/>
    <mergeCell ref="B35:F35"/>
  </mergeCells>
  <conditionalFormatting sqref="B1:F154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1">
    <dataValidation sqref="D30 D31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136" min="0" max="16383" man="1"/>
  </rowBreaks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F43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</cols>
  <sheetData>
    <row r="1" ht="24" customHeight="1">
      <c r="B1" s="14" t="inlineStr">
        <is>
          <t>CIMIENTO CORRIDO DE CONCRETO SIMPLE · NTE E.060 CAP. 22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Cimiento del muro del eje A</t>
        </is>
      </c>
      <c r="D5" s="18" t="n"/>
      <c r="E5" s="18" t="n"/>
      <c r="F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</row>
    <row r="10" ht="17" customHeight="1">
      <c r="B10" s="21" t="inlineStr">
        <is>
          <t>1. DATOS DE ENTRADA</t>
        </is>
      </c>
    </row>
    <row r="11" ht="24" customHeight="1">
      <c r="B11" s="9" t="inlineStr">
        <is>
          <t>Resistencia del concreto (ciclópeo: f'c de la matriz)</t>
        </is>
      </c>
      <c r="C11" s="22" t="inlineStr">
        <is>
          <t>f'c</t>
        </is>
      </c>
      <c r="D11" s="23" t="n">
        <v>100</v>
      </c>
      <c r="E11" s="24" t="inlineStr">
        <is>
          <t>kgf/cm²</t>
        </is>
      </c>
      <c r="F11" s="27" t="inlineStr">
        <is>
          <t>Ciclópeo 1:10 + 30 % PG ≈ 100 kgf/cm²</t>
        </is>
      </c>
    </row>
    <row r="12" ht="13.5" customHeight="1">
      <c r="B12" s="9" t="inlineStr">
        <is>
          <t>Espesor del muro (con tarrajeo)</t>
        </is>
      </c>
      <c r="C12" s="22" t="inlineStr">
        <is>
          <t>t</t>
        </is>
      </c>
      <c r="D12" s="35" t="n">
        <v>25</v>
      </c>
      <c r="E12" s="24" t="inlineStr">
        <is>
          <t>cm</t>
        </is>
      </c>
    </row>
    <row r="13" ht="13.5" customHeight="1">
      <c r="B13" s="9" t="inlineStr">
        <is>
          <t>Carga muerta por metro de muro</t>
        </is>
      </c>
      <c r="C13" s="22" t="inlineStr">
        <is>
          <t>PD</t>
        </is>
      </c>
      <c r="D13" s="25" t="n">
        <v>6</v>
      </c>
      <c r="E13" s="24" t="inlineStr">
        <is>
          <t>t/m</t>
        </is>
      </c>
    </row>
    <row r="14" ht="13.5" customHeight="1">
      <c r="B14" s="9" t="inlineStr">
        <is>
          <t>Carga viva por metro de muro</t>
        </is>
      </c>
      <c r="C14" s="22" t="inlineStr">
        <is>
          <t>PL</t>
        </is>
      </c>
      <c r="D14" s="25" t="n">
        <v>1.5</v>
      </c>
      <c r="E14" s="24" t="inlineStr">
        <is>
          <t>t/m</t>
        </is>
      </c>
    </row>
    <row r="15" ht="13.5" customHeight="1">
      <c r="B15" s="9" t="inlineStr">
        <is>
          <t>Capacidad portante admisible</t>
        </is>
      </c>
      <c r="C15" s="22" t="inlineStr">
        <is>
          <t>qadm</t>
        </is>
      </c>
      <c r="D15" s="25" t="n">
        <v>1</v>
      </c>
      <c r="E15" s="24" t="inlineStr">
        <is>
          <t>kgf/cm²</t>
        </is>
      </c>
    </row>
    <row r="16" ht="13.5" customHeight="1">
      <c r="B16" s="9" t="inlineStr">
        <is>
          <t>Profundidad de desplante</t>
        </is>
      </c>
      <c r="C16" s="22" t="inlineStr">
        <is>
          <t>Df</t>
        </is>
      </c>
      <c r="D16" s="25" t="n">
        <v>1</v>
      </c>
      <c r="E16" s="24" t="inlineStr">
        <is>
          <t>m</t>
        </is>
      </c>
    </row>
    <row r="17" ht="13.5" customHeight="1">
      <c r="B17" s="9" t="inlineStr">
        <is>
          <t>Peso unitario promedio</t>
        </is>
      </c>
      <c r="C17" s="22" t="inlineStr">
        <is>
          <t>γm</t>
        </is>
      </c>
      <c r="D17" s="25" t="n">
        <v>2</v>
      </c>
      <c r="E17" s="24" t="inlineStr">
        <is>
          <t>t/m³</t>
        </is>
      </c>
    </row>
    <row r="18" ht="13.5" customHeight="1">
      <c r="B18" s="9" t="inlineStr">
        <is>
          <t>Sobrecarga sobre el piso</t>
        </is>
      </c>
      <c r="C18" s="22" t="inlineStr">
        <is>
          <t>s/c</t>
        </is>
      </c>
      <c r="D18" s="25" t="n">
        <v>0.2</v>
      </c>
      <c r="E18" s="24" t="inlineStr">
        <is>
          <t>t/m²</t>
        </is>
      </c>
    </row>
    <row r="19" ht="13.5" customHeight="1">
      <c r="B19" s="9" t="inlineStr">
        <is>
          <t>Altura del cimiento</t>
        </is>
      </c>
      <c r="C19" s="22" t="inlineStr">
        <is>
          <t>h</t>
        </is>
      </c>
      <c r="D19" s="35" t="n">
        <v>80</v>
      </c>
      <c r="E19" s="24" t="inlineStr">
        <is>
          <t>cm</t>
        </is>
      </c>
      <c r="F19" s="27" t="inlineStr">
        <is>
          <t>Mínimo 20 cm (22.7.4)</t>
        </is>
      </c>
    </row>
    <row r="20" ht="13.5" customHeight="1">
      <c r="B20" s="9" t="inlineStr">
        <is>
          <t>Ancho adoptado (vacío = sugerido)</t>
        </is>
      </c>
      <c r="C20" s="22" t="inlineStr">
        <is>
          <t>B</t>
        </is>
      </c>
      <c r="D20" s="25" t="n"/>
      <c r="E20" s="24" t="inlineStr">
        <is>
          <t>m</t>
        </is>
      </c>
    </row>
    <row r="22" ht="17" customHeight="1">
      <c r="B22" s="21" t="inlineStr">
        <is>
          <t>2. DIMENSIONAMIENTO</t>
        </is>
      </c>
    </row>
    <row r="23" ht="13.5" customHeight="1">
      <c r="B23" s="9" t="inlineStr">
        <is>
          <t>Capacidad neta</t>
        </is>
      </c>
      <c r="C23" s="22" t="inlineStr">
        <is>
          <t>qn</t>
        </is>
      </c>
      <c r="D23" s="34">
        <f>$D$15*10-$D$17*$D$16-$D$18</f>
        <v/>
      </c>
      <c r="E23" s="24" t="inlineStr">
        <is>
          <t>t/m²</t>
        </is>
      </c>
    </row>
    <row r="24" ht="13.5" customHeight="1">
      <c r="B24" s="9" t="inlineStr">
        <is>
          <t>qn &gt; 0</t>
        </is>
      </c>
      <c r="C24" s="29">
        <f>IF($D$23&gt;0,"CUMPLE","NO CUMPLE")</f>
        <v/>
      </c>
      <c r="D24" s="30" t="n"/>
      <c r="E24" s="30" t="n"/>
    </row>
    <row r="25" ht="13.5" customHeight="1">
      <c r="B25" s="9" t="inlineStr">
        <is>
          <t>Ancho sugerido B = P/qn</t>
        </is>
      </c>
      <c r="C25" s="22" t="inlineStr">
        <is>
          <t>B</t>
        </is>
      </c>
      <c r="D25" s="34">
        <f>MAX(CEILING(($D$13+$D$14)/MAX(0.01,$D$23),0.05),$D$12/100+0.20)</f>
        <v/>
      </c>
      <c r="E25" s="24" t="inlineStr">
        <is>
          <t>m</t>
        </is>
      </c>
      <c r="F25" s="27" t="inlineStr">
        <is>
          <t>Mínimo t + 20 cm</t>
        </is>
      </c>
    </row>
    <row r="26" ht="13.5" customHeight="1">
      <c r="B26" s="9" t="inlineStr">
        <is>
          <t>Ancho de diseño</t>
        </is>
      </c>
      <c r="C26" s="22" t="inlineStr">
        <is>
          <t>B</t>
        </is>
      </c>
      <c r="D26" s="34">
        <f>IF(ISNUMBER($D$20),$D$20,$D$25)</f>
        <v/>
      </c>
      <c r="E26" s="24" t="inlineStr">
        <is>
          <t>m</t>
        </is>
      </c>
    </row>
    <row r="27" ht="13.5" customHeight="1">
      <c r="B27" s="9" t="inlineStr">
        <is>
          <t>Presión de servicio</t>
        </is>
      </c>
      <c r="C27" s="22" t="inlineStr">
        <is>
          <t>q</t>
        </is>
      </c>
      <c r="D27" s="34">
        <f>($D$13+$D$14)/$D$26</f>
        <v/>
      </c>
      <c r="E27" s="24" t="inlineStr">
        <is>
          <t>t/m²</t>
        </is>
      </c>
    </row>
    <row r="28" ht="13.5" customHeight="1">
      <c r="B28" s="9" t="inlineStr">
        <is>
          <t>q ≤ qn</t>
        </is>
      </c>
      <c r="C28" s="29">
        <f>IF($D$27&lt;=$D$23+0.0001,"CUMPLE","NO CUMPLE")</f>
        <v/>
      </c>
      <c r="D28" s="30" t="n"/>
      <c r="E28" s="30" t="n"/>
      <c r="F28" s="27" t="inlineStr">
        <is>
          <t>Si no cumple: aumente B</t>
        </is>
      </c>
    </row>
    <row r="30" ht="17" customHeight="1">
      <c r="B30" s="21" t="inlineStr">
        <is>
          <t>3. RESISTENCIA DEL CONCRETO SIMPLE (φ = 0.65)</t>
        </is>
      </c>
    </row>
    <row r="31" ht="13.5" customHeight="1">
      <c r="B31" s="9" t="inlineStr">
        <is>
          <t>Presión última (1.4CM + 1.7CV)/B</t>
        </is>
      </c>
      <c r="C31" s="22" t="inlineStr">
        <is>
          <t>qu</t>
        </is>
      </c>
      <c r="D31" s="34">
        <f>(1.4*$D$13+1.7*$D$14)/$D$26</f>
        <v/>
      </c>
      <c r="E31" s="24" t="inlineStr">
        <is>
          <t>t/m²</t>
        </is>
      </c>
    </row>
    <row r="32" ht="13.5" customHeight="1">
      <c r="B32" s="9" t="inlineStr">
        <is>
          <t>Volado (B − t)/2</t>
        </is>
      </c>
      <c r="C32" s="22" t="inlineStr">
        <is>
          <t>v</t>
        </is>
      </c>
      <c r="D32" s="39">
        <f>($D$26-$D$12/100)/2</f>
        <v/>
      </c>
      <c r="E32" s="24" t="inlineStr">
        <is>
          <t>m</t>
        </is>
      </c>
    </row>
    <row r="33" ht="13.5" customHeight="1">
      <c r="B33" s="9" t="inlineStr">
        <is>
          <t>Altura efectiva h − 5 cm (22.4.8)</t>
        </is>
      </c>
      <c r="C33" s="22" t="inlineStr">
        <is>
          <t>h'</t>
        </is>
      </c>
      <c r="D33" s="34">
        <f>$D$19-5</f>
        <v/>
      </c>
      <c r="E33" s="24" t="inlineStr">
        <is>
          <t>cm</t>
        </is>
      </c>
    </row>
    <row r="34" ht="24" customHeight="1">
      <c r="B34" s="9" t="inlineStr">
        <is>
          <t>Brazo a la sección crítica (mitad entre eje y cara del muro)</t>
        </is>
      </c>
      <c r="C34" s="22" t="inlineStr">
        <is>
          <t>v'</t>
        </is>
      </c>
      <c r="D34" s="39">
        <f>$D$32+$D$12/400</f>
        <v/>
      </c>
      <c r="E34" s="24" t="inlineStr">
        <is>
          <t>m</t>
        </is>
      </c>
      <c r="F34" s="27" t="inlineStr">
        <is>
          <t>ACI 318 15.4.2(b) para muros de albañilería</t>
        </is>
      </c>
    </row>
    <row r="35" ht="13.5" customHeight="1">
      <c r="B35" s="9" t="inlineStr">
        <is>
          <t>Momento en la sección crítica qu·v'²/2</t>
        </is>
      </c>
      <c r="C35" s="22" t="inlineStr">
        <is>
          <t>Mu</t>
        </is>
      </c>
      <c r="D35" s="39">
        <f>$D$31*$D$34^2/2</f>
        <v/>
      </c>
      <c r="E35" s="24" t="inlineStr">
        <is>
          <t>t·m/m</t>
        </is>
      </c>
    </row>
    <row r="36" ht="13.5" customHeight="1">
      <c r="B36" s="9" t="inlineStr">
        <is>
          <t>φMn = 0.65·1.33·√f'c·S (S = b·h'²/6)</t>
        </is>
      </c>
      <c r="C36" s="22" t="inlineStr">
        <is>
          <t>φMn</t>
        </is>
      </c>
      <c r="D36" s="39">
        <f>0.65*1.33*SQRT($D$11)*100*$D$33^2/6/100000</f>
        <v/>
      </c>
      <c r="E36" s="24" t="inlineStr">
        <is>
          <t>t·m/m</t>
        </is>
      </c>
      <c r="F36" s="27" t="inlineStr">
        <is>
          <t>Mn = 0.42√f'c·S (MPa)</t>
        </is>
      </c>
    </row>
    <row r="37" ht="13.5" customHeight="1">
      <c r="B37" s="9" t="inlineStr">
        <is>
          <t>Mu ≤ φMn</t>
        </is>
      </c>
      <c r="C37" s="29">
        <f>IF($D$35&lt;=$D$36,"CUMPLE","NO CUMPLE")</f>
        <v/>
      </c>
      <c r="D37" s="30" t="n"/>
      <c r="E37" s="30" t="n"/>
      <c r="F37" s="27" t="inlineStr">
        <is>
          <t>Si no cumple: aumente h</t>
        </is>
      </c>
    </row>
    <row r="38" ht="13.5" customHeight="1">
      <c r="B38" s="9" t="inlineStr">
        <is>
          <t>Cortante a h' de la cara qu·(v − h')</t>
        </is>
      </c>
      <c r="C38" s="22" t="inlineStr">
        <is>
          <t>Vu</t>
        </is>
      </c>
      <c r="D38" s="39">
        <f>MAX(0,$D$31*($D$32-$D$33/100))</f>
        <v/>
      </c>
      <c r="E38" s="24" t="inlineStr">
        <is>
          <t>t/m</t>
        </is>
      </c>
    </row>
    <row r="39" ht="13.5" customHeight="1">
      <c r="B39" s="9" t="inlineStr">
        <is>
          <t>φVn = 0.65·0.35·√f'c·b·h'</t>
        </is>
      </c>
      <c r="C39" s="22" t="inlineStr">
        <is>
          <t>φVn</t>
        </is>
      </c>
      <c r="D39" s="39">
        <f>0.65*0.35*SQRT($D$11)*100*$D$33/1000</f>
        <v/>
      </c>
      <c r="E39" s="24" t="inlineStr">
        <is>
          <t>t/m</t>
        </is>
      </c>
      <c r="F39" s="27" t="inlineStr">
        <is>
          <t>Vn = 0.11√f'c·b·h (MPa)</t>
        </is>
      </c>
    </row>
    <row r="40" ht="13.5" customHeight="1">
      <c r="B40" s="9" t="inlineStr">
        <is>
          <t>Vu ≤ φVn</t>
        </is>
      </c>
      <c r="C40" s="29">
        <f>IF($D$38&lt;=$D$39,"CUMPLE","NO CUMPLE")</f>
        <v/>
      </c>
      <c r="D40" s="30" t="n"/>
      <c r="E40" s="30" t="n"/>
      <c r="F40" s="27" t="inlineStr">
        <is>
          <t>Si no cumple: aumente h</t>
        </is>
      </c>
    </row>
    <row r="41" ht="13.5" customHeight="1">
      <c r="B41" s="9" t="inlineStr">
        <is>
          <t>h ≥ 20 cm</t>
        </is>
      </c>
      <c r="C41" s="29">
        <f>IF($D$19&gt;=20,"CUMPLE","NO CUMPLE")</f>
        <v/>
      </c>
      <c r="D41" s="30" t="n"/>
      <c r="E41" s="30" t="n"/>
    </row>
    <row r="42" ht="13.5" customHeight="1">
      <c r="B42" s="9" t="inlineStr">
        <is>
          <t>CIMIENTO</t>
        </is>
      </c>
      <c r="C42" s="22" t="inlineStr"/>
      <c r="D42" s="44">
        <f>"B = "&amp;FIXED($D$26,2)&amp;" m · h = "&amp;FIXED($D$19/100,2)&amp;" m · concreto f'c = "&amp;$D$11&amp;" kgf/cm²"</f>
        <v/>
      </c>
      <c r="E42" s="30" t="n"/>
      <c r="F42" s="30" t="n"/>
    </row>
    <row r="43" ht="13.5" customHeight="1">
      <c r="B43" s="9" t="inlineStr">
        <is>
          <t>ESTADO GENERAL DEL DISEÑO</t>
        </is>
      </c>
      <c r="C43" s="29">
        <f>IF(AND($C$24="CUMPLE",$C$28="CUMPLE",$C$37="CUMPLE",$C$40="CUMPLE",$C$41="CUMPLE"),"CUMPLE","NO CUMPLE")</f>
        <v/>
      </c>
      <c r="D43" s="30" t="n"/>
      <c r="E43" s="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7">
    <mergeCell ref="B30:F30"/>
    <mergeCell ref="D42:F42"/>
    <mergeCell ref="C28:E28"/>
    <mergeCell ref="C3:F3"/>
    <mergeCell ref="C41:E41"/>
    <mergeCell ref="B2:F2"/>
    <mergeCell ref="C37:E37"/>
    <mergeCell ref="C4:F4"/>
    <mergeCell ref="B10:F10"/>
    <mergeCell ref="C40:E40"/>
    <mergeCell ref="C6:F6"/>
    <mergeCell ref="C7:F7"/>
    <mergeCell ref="B1:F1"/>
    <mergeCell ref="B22:F22"/>
    <mergeCell ref="C5:F5"/>
    <mergeCell ref="C43:E43"/>
    <mergeCell ref="C24:E24"/>
  </mergeCells>
  <conditionalFormatting sqref="B1:F44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F7DF6"/>
    <outlinePr summaryBelow="1" summaryRight="1"/>
    <pageSetUpPr fitToPage="1"/>
  </sheetPr>
  <dimension ref="B1:Q190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41" customWidth="1" min="2" max="2"/>
    <col width="9" customWidth="1" min="3" max="3"/>
    <col width="12" customWidth="1" min="4" max="4"/>
    <col width="9" customWidth="1" min="5" max="5"/>
    <col width="36" customWidth="1" min="6" max="6"/>
    <col width="2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24" customHeight="1">
      <c r="B1" s="14" t="inlineStr">
        <is>
          <t>MURO DE CONTENCIÓN EN VOLADIZO (CON SISMO) · NTE E.060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</row>
    <row r="5">
      <c r="B5" s="16" t="inlineStr">
        <is>
          <t>Elemento</t>
        </is>
      </c>
      <c r="C5" s="19" t="inlineStr">
        <is>
          <t>Muro M-1 (h = 4.00 m)</t>
        </is>
      </c>
      <c r="D5" s="18" t="n"/>
      <c r="E5" s="18" t="n"/>
      <c r="F5" s="18" t="n"/>
      <c r="H5" s="3" t="inlineStr">
        <is>
          <t>Integración de presiones (no imprimir)</t>
        </is>
      </c>
      <c r="P5" s="46" t="inlineStr">
        <is>
          <t>Croquis</t>
        </is>
      </c>
      <c r="Q5" s="46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H6" s="3" t="inlineStr">
        <is>
          <t>i</t>
        </is>
      </c>
      <c r="I6" s="3" t="inlineStr">
        <is>
          <t>x punt.</t>
        </is>
      </c>
      <c r="J6" s="3" t="inlineStr">
        <is>
          <t>q punt.</t>
        </is>
      </c>
      <c r="K6" s="3" t="inlineStr">
        <is>
          <t>x talón</t>
        </is>
      </c>
      <c r="L6" s="3" t="inlineStr">
        <is>
          <t>q talón</t>
        </is>
      </c>
      <c r="M6" s="3" t="inlineStr"/>
      <c r="N6" s="3" t="inlineStr">
        <is>
          <t>q punt. sismo</t>
        </is>
      </c>
      <c r="O6" s="3" t="inlineStr">
        <is>
          <t>q talón sismo</t>
        </is>
      </c>
      <c r="P6" s="46">
        <f>0</f>
        <v/>
      </c>
      <c r="Q6" s="46">
        <f>0</f>
        <v/>
      </c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H7" s="46" t="n">
        <v>1</v>
      </c>
      <c r="I7" s="46">
        <f>(0+0.5)*$D$32/20</f>
        <v/>
      </c>
      <c r="J7" s="46">
        <f>IF(ABS($D$142)&lt;=$D$43/6,$D$143+($D$144-$D$143)*(I7)/$D$43,IF($D$142&gt;0,MAX(0,$D$143*(1-(I7)/(3*$D$141))),MAX(0,$D$144*(1-($D$43-(I7))/(3*($D$43-$D$141))))))</f>
        <v/>
      </c>
      <c r="K7" s="46">
        <f>$D$32+$D$30+(0+0.5)*$D$33/20</f>
        <v/>
      </c>
      <c r="L7" s="46">
        <f>IF(ABS($D$142)&lt;=$D$43/6,$D$143+($D$144-$D$143)*(K7)/$D$43,IF($D$142&gt;0,MAX(0,$D$143*(1-(K7)/(3*$D$141))),MAX(0,$D$144*(1-($D$43-(K7))/(3*($D$43-$D$141))))))</f>
        <v/>
      </c>
      <c r="M7" s="46" t="n"/>
      <c r="N7" s="46">
        <f>IF(ABS($D$147)&lt;=$D$43/6,$D$148+($D$149-$D$148)*(I7)/$D$43,IF($D$147&gt;0,MAX(0,$D$148*(1-(I7)/(3*$D$146))),MAX(0,$D$149*(1-($D$43-(I7))/(3*($D$43-$D$146))))))</f>
        <v/>
      </c>
      <c r="O7" s="46">
        <f>IF(ABS($D$147)&lt;=$D$43/6,$D$148+($D$149-$D$148)*(K7)/$D$43,IF($D$147&gt;0,MAX(0,$D$148*(1-(K7)/(3*$D$146))),MAX(0,$D$149*(1-($D$43-(K7))/(3*($D$43-$D$146))))))</f>
        <v/>
      </c>
      <c r="P7" s="46">
        <f>$D$32</f>
        <v/>
      </c>
      <c r="Q7" s="46">
        <f>0</f>
        <v/>
      </c>
    </row>
    <row r="8">
      <c r="H8" s="46" t="n">
        <v>2</v>
      </c>
      <c r="I8" s="46">
        <f>(1+0.5)*$D$32/20</f>
        <v/>
      </c>
      <c r="J8" s="46">
        <f>IF(ABS($D$142)&lt;=$D$43/6,$D$143+($D$144-$D$143)*(I8)/$D$43,IF($D$142&gt;0,MAX(0,$D$143*(1-(I8)/(3*$D$141))),MAX(0,$D$144*(1-($D$43-(I8))/(3*($D$43-$D$141))))))</f>
        <v/>
      </c>
      <c r="K8" s="46">
        <f>$D$32+$D$30+(1+0.5)*$D$33/20</f>
        <v/>
      </c>
      <c r="L8" s="46">
        <f>IF(ABS($D$142)&lt;=$D$43/6,$D$143+($D$144-$D$143)*(K8)/$D$43,IF($D$142&gt;0,MAX(0,$D$143*(1-(K8)/(3*$D$141))),MAX(0,$D$144*(1-($D$43-(K8))/(3*($D$43-$D$141))))))</f>
        <v/>
      </c>
      <c r="M8" s="46" t="n"/>
      <c r="N8" s="46">
        <f>IF(ABS($D$147)&lt;=$D$43/6,$D$148+($D$149-$D$148)*(I8)/$D$43,IF($D$147&gt;0,MAX(0,$D$148*(1-(I8)/(3*$D$146))),MAX(0,$D$149*(1-($D$43-(I8))/(3*($D$43-$D$146))))))</f>
        <v/>
      </c>
      <c r="O8" s="46">
        <f>IF(ABS($D$147)&lt;=$D$43/6,$D$148+($D$149-$D$148)*(K8)/$D$43,IF($D$147&gt;0,MAX(0,$D$148*(1-(K8)/(3*$D$146))),MAX(0,$D$149*(1-($D$43-(K8))/(3*($D$43-$D$146))))))</f>
        <v/>
      </c>
      <c r="P8" s="46">
        <f>$D$32</f>
        <v/>
      </c>
      <c r="Q8" s="46">
        <f>-$D$35</f>
        <v/>
      </c>
    </row>
    <row r="9">
      <c r="H9" s="46" t="n">
        <v>3</v>
      </c>
      <c r="I9" s="46">
        <f>(2+0.5)*$D$32/20</f>
        <v/>
      </c>
      <c r="J9" s="46">
        <f>IF(ABS($D$142)&lt;=$D$43/6,$D$143+($D$144-$D$143)*(I9)/$D$43,IF($D$142&gt;0,MAX(0,$D$143*(1-(I9)/(3*$D$141))),MAX(0,$D$144*(1-($D$43-(I9))/(3*($D$43-$D$141))))))</f>
        <v/>
      </c>
      <c r="K9" s="46">
        <f>$D$32+$D$30+(2+0.5)*$D$33/20</f>
        <v/>
      </c>
      <c r="L9" s="46">
        <f>IF(ABS($D$142)&lt;=$D$43/6,$D$143+($D$144-$D$143)*(K9)/$D$43,IF($D$142&gt;0,MAX(0,$D$143*(1-(K9)/(3*$D$141))),MAX(0,$D$144*(1-($D$43-(K9))/(3*($D$43-$D$141))))))</f>
        <v/>
      </c>
      <c r="M9" s="46" t="n"/>
      <c r="N9" s="46">
        <f>IF(ABS($D$147)&lt;=$D$43/6,$D$148+($D$149-$D$148)*(I9)/$D$43,IF($D$147&gt;0,MAX(0,$D$148*(1-(I9)/(3*$D$146))),MAX(0,$D$149*(1-($D$43-(I9))/(3*($D$43-$D$146))))))</f>
        <v/>
      </c>
      <c r="O9" s="46">
        <f>IF(ABS($D$147)&lt;=$D$43/6,$D$148+($D$149-$D$148)*(K9)/$D$43,IF($D$147&gt;0,MAX(0,$D$148*(1-(K9)/(3*$D$146))),MAX(0,$D$149*(1-($D$43-(K9))/(3*($D$43-$D$146))))))</f>
        <v/>
      </c>
      <c r="P9" s="46">
        <f>$D$32+$D$30</f>
        <v/>
      </c>
      <c r="Q9" s="46">
        <f>-$D$35</f>
        <v/>
      </c>
    </row>
    <row r="10" ht="17" customHeight="1">
      <c r="B10" s="21" t="inlineStr">
        <is>
          <t>1. DATOS DE ENTRADA</t>
        </is>
      </c>
      <c r="H10" s="46" t="n">
        <v>4</v>
      </c>
      <c r="I10" s="46">
        <f>(3+0.5)*$D$32/20</f>
        <v/>
      </c>
      <c r="J10" s="46">
        <f>IF(ABS($D$142)&lt;=$D$43/6,$D$143+($D$144-$D$143)*(I10)/$D$43,IF($D$142&gt;0,MAX(0,$D$143*(1-(I10)/(3*$D$141))),MAX(0,$D$144*(1-($D$43-(I10))/(3*($D$43-$D$141))))))</f>
        <v/>
      </c>
      <c r="K10" s="46">
        <f>$D$32+$D$30+(3+0.5)*$D$33/20</f>
        <v/>
      </c>
      <c r="L10" s="46">
        <f>IF(ABS($D$142)&lt;=$D$43/6,$D$143+($D$144-$D$143)*(K10)/$D$43,IF($D$142&gt;0,MAX(0,$D$143*(1-(K10)/(3*$D$141))),MAX(0,$D$144*(1-($D$43-(K10))/(3*($D$43-$D$141))))))</f>
        <v/>
      </c>
      <c r="M10" s="46" t="n"/>
      <c r="N10" s="46">
        <f>IF(ABS($D$147)&lt;=$D$43/6,$D$148+($D$149-$D$148)*(I10)/$D$43,IF($D$147&gt;0,MAX(0,$D$148*(1-(I10)/(3*$D$146))),MAX(0,$D$149*(1-($D$43-(I10))/(3*($D$43-$D$146))))))</f>
        <v/>
      </c>
      <c r="O10" s="46">
        <f>IF(ABS($D$147)&lt;=$D$43/6,$D$148+($D$149-$D$148)*(K10)/$D$43,IF($D$147&gt;0,MAX(0,$D$148*(1-(K10)/(3*$D$146))),MAX(0,$D$149*(1-($D$43-(K10))/(3*($D$43-$D$146))))))</f>
        <v/>
      </c>
      <c r="P10" s="46">
        <f>$D$32+$D$30</f>
        <v/>
      </c>
      <c r="Q10" s="46">
        <f>0</f>
        <v/>
      </c>
    </row>
    <row r="11">
      <c r="B11" s="4" t="inlineStr">
        <is>
          <t>Materiales</t>
        </is>
      </c>
      <c r="H11" s="46" t="n">
        <v>5</v>
      </c>
      <c r="I11" s="46">
        <f>(4+0.5)*$D$32/20</f>
        <v/>
      </c>
      <c r="J11" s="46">
        <f>IF(ABS($D$142)&lt;=$D$43/6,$D$143+($D$144-$D$143)*(I11)/$D$43,IF($D$142&gt;0,MAX(0,$D$143*(1-(I11)/(3*$D$141))),MAX(0,$D$144*(1-($D$43-(I11))/(3*($D$43-$D$141))))))</f>
        <v/>
      </c>
      <c r="K11" s="46">
        <f>$D$32+$D$30+(4+0.5)*$D$33/20</f>
        <v/>
      </c>
      <c r="L11" s="46">
        <f>IF(ABS($D$142)&lt;=$D$43/6,$D$143+($D$144-$D$143)*(K11)/$D$43,IF($D$142&gt;0,MAX(0,$D$143*(1-(K11)/(3*$D$141))),MAX(0,$D$144*(1-($D$43-(K11))/(3*($D$43-$D$141))))))</f>
        <v/>
      </c>
      <c r="M11" s="46" t="n"/>
      <c r="N11" s="46">
        <f>IF(ABS($D$147)&lt;=$D$43/6,$D$148+($D$149-$D$148)*(I11)/$D$43,IF($D$147&gt;0,MAX(0,$D$148*(1-(I11)/(3*$D$146))),MAX(0,$D$149*(1-($D$43-(I11))/(3*($D$43-$D$146))))))</f>
        <v/>
      </c>
      <c r="O11" s="46">
        <f>IF(ABS($D$147)&lt;=$D$43/6,$D$148+($D$149-$D$148)*(K11)/$D$43,IF($D$147&gt;0,MAX(0,$D$148*(1-(K11)/(3*$D$146))),MAX(0,$D$149*(1-($D$43-(K11))/(3*($D$43-$D$146))))))</f>
        <v/>
      </c>
      <c r="P11" s="46">
        <f>$D$43</f>
        <v/>
      </c>
      <c r="Q11" s="46">
        <f>0</f>
        <v/>
      </c>
    </row>
    <row r="12" ht="13.5" customHeight="1">
      <c r="B12" s="9" t="inlineStr">
        <is>
          <t>Resistencia del concreto</t>
        </is>
      </c>
      <c r="C12" s="22" t="inlineStr">
        <is>
          <t>f'c</t>
        </is>
      </c>
      <c r="D12" s="23" t="n">
        <v>210</v>
      </c>
      <c r="E12" s="24" t="inlineStr">
        <is>
          <t>kgf/cm²</t>
        </is>
      </c>
      <c r="H12" s="46" t="n">
        <v>6</v>
      </c>
      <c r="I12" s="46">
        <f>(5+0.5)*$D$32/20</f>
        <v/>
      </c>
      <c r="J12" s="46">
        <f>IF(ABS($D$142)&lt;=$D$43/6,$D$143+($D$144-$D$143)*(I12)/$D$43,IF($D$142&gt;0,MAX(0,$D$143*(1-(I12)/(3*$D$141))),MAX(0,$D$144*(1-($D$43-(I12))/(3*($D$43-$D$141))))))</f>
        <v/>
      </c>
      <c r="K12" s="46">
        <f>$D$32+$D$30+(5+0.5)*$D$33/20</f>
        <v/>
      </c>
      <c r="L12" s="46">
        <f>IF(ABS($D$142)&lt;=$D$43/6,$D$143+($D$144-$D$143)*(K12)/$D$43,IF($D$142&gt;0,MAX(0,$D$143*(1-(K12)/(3*$D$141))),MAX(0,$D$144*(1-($D$43-(K12))/(3*($D$43-$D$141))))))</f>
        <v/>
      </c>
      <c r="M12" s="46" t="n"/>
      <c r="N12" s="46">
        <f>IF(ABS($D$147)&lt;=$D$43/6,$D$148+($D$149-$D$148)*(I12)/$D$43,IF($D$147&gt;0,MAX(0,$D$148*(1-(I12)/(3*$D$146))),MAX(0,$D$149*(1-($D$43-(I12))/(3*($D$43-$D$146))))))</f>
        <v/>
      </c>
      <c r="O12" s="46">
        <f>IF(ABS($D$147)&lt;=$D$43/6,$D$148+($D$149-$D$148)*(K12)/$D$43,IF($D$147&gt;0,MAX(0,$D$148*(1-(K12)/(3*$D$146))),MAX(0,$D$149*(1-($D$43-(K12))/(3*($D$43-$D$146))))))</f>
        <v/>
      </c>
      <c r="P12" s="46">
        <f>$D$43</f>
        <v/>
      </c>
      <c r="Q12" s="46">
        <f>$D$31</f>
        <v/>
      </c>
    </row>
    <row r="13" ht="13.5" customHeight="1">
      <c r="B13" s="9" t="inlineStr">
        <is>
          <t>Fluencia del acero</t>
        </is>
      </c>
      <c r="C13" s="22" t="inlineStr">
        <is>
          <t>fy</t>
        </is>
      </c>
      <c r="D13" s="23" t="n">
        <v>4200</v>
      </c>
      <c r="E13" s="24" t="inlineStr">
        <is>
          <t>kgf/cm²</t>
        </is>
      </c>
      <c r="H13" s="46" t="n">
        <v>7</v>
      </c>
      <c r="I13" s="46">
        <f>(6+0.5)*$D$32/20</f>
        <v/>
      </c>
      <c r="J13" s="46">
        <f>IF(ABS($D$142)&lt;=$D$43/6,$D$143+($D$144-$D$143)*(I13)/$D$43,IF($D$142&gt;0,MAX(0,$D$143*(1-(I13)/(3*$D$141))),MAX(0,$D$144*(1-($D$43-(I13))/(3*($D$43-$D$141))))))</f>
        <v/>
      </c>
      <c r="K13" s="46">
        <f>$D$32+$D$30+(6+0.5)*$D$33/20</f>
        <v/>
      </c>
      <c r="L13" s="46">
        <f>IF(ABS($D$142)&lt;=$D$43/6,$D$143+($D$144-$D$143)*(K13)/$D$43,IF($D$142&gt;0,MAX(0,$D$143*(1-(K13)/(3*$D$141))),MAX(0,$D$144*(1-($D$43-(K13))/(3*($D$43-$D$141))))))</f>
        <v/>
      </c>
      <c r="M13" s="46" t="n"/>
      <c r="N13" s="46">
        <f>IF(ABS($D$147)&lt;=$D$43/6,$D$148+($D$149-$D$148)*(I13)/$D$43,IF($D$147&gt;0,MAX(0,$D$148*(1-(I13)/(3*$D$146))),MAX(0,$D$149*(1-($D$43-(I13))/(3*($D$43-$D$146))))))</f>
        <v/>
      </c>
      <c r="O13" s="46">
        <f>IF(ABS($D$147)&lt;=$D$43/6,$D$148+($D$149-$D$148)*(K13)/$D$43,IF($D$147&gt;0,MAX(0,$D$148*(1-(K13)/(3*$D$146))),MAX(0,$D$149*(1-($D$43-(K13))/(3*($D$43-$D$146))))))</f>
        <v/>
      </c>
      <c r="P13" s="46">
        <f>$D$32+$D$30</f>
        <v/>
      </c>
      <c r="Q13" s="46">
        <f>$D$31</f>
        <v/>
      </c>
    </row>
    <row r="14" ht="13.5" customHeight="1">
      <c r="B14" s="9" t="inlineStr">
        <is>
          <t>Peso unitario del concreto</t>
        </is>
      </c>
      <c r="C14" s="22" t="inlineStr">
        <is>
          <t>γc</t>
        </is>
      </c>
      <c r="D14" s="25" t="n">
        <v>2.4</v>
      </c>
      <c r="E14" s="24" t="inlineStr">
        <is>
          <t>t/m³</t>
        </is>
      </c>
      <c r="H14" s="46" t="n">
        <v>8</v>
      </c>
      <c r="I14" s="46">
        <f>(7+0.5)*$D$32/20</f>
        <v/>
      </c>
      <c r="J14" s="46">
        <f>IF(ABS($D$142)&lt;=$D$43/6,$D$143+($D$144-$D$143)*(I14)/$D$43,IF($D$142&gt;0,MAX(0,$D$143*(1-(I14)/(3*$D$141))),MAX(0,$D$144*(1-($D$43-(I14))/(3*($D$43-$D$141))))))</f>
        <v/>
      </c>
      <c r="K14" s="46">
        <f>$D$32+$D$30+(7+0.5)*$D$33/20</f>
        <v/>
      </c>
      <c r="L14" s="46">
        <f>IF(ABS($D$142)&lt;=$D$43/6,$D$143+($D$144-$D$143)*(K14)/$D$43,IF($D$142&gt;0,MAX(0,$D$143*(1-(K14)/(3*$D$141))),MAX(0,$D$144*(1-($D$43-(K14))/(3*($D$43-$D$141))))))</f>
        <v/>
      </c>
      <c r="M14" s="46" t="n"/>
      <c r="N14" s="46">
        <f>IF(ABS($D$147)&lt;=$D$43/6,$D$148+($D$149-$D$148)*(I14)/$D$43,IF($D$147&gt;0,MAX(0,$D$148*(1-(I14)/(3*$D$146))),MAX(0,$D$149*(1-($D$43-(I14))/(3*($D$43-$D$146))))))</f>
        <v/>
      </c>
      <c r="O14" s="46">
        <f>IF(ABS($D$147)&lt;=$D$43/6,$D$148+($D$149-$D$148)*(K14)/$D$43,IF($D$147&gt;0,MAX(0,$D$148*(1-(K14)/(3*$D$146))),MAX(0,$D$149*(1-($D$43-(K14))/(3*($D$43-$D$146))))))</f>
        <v/>
      </c>
      <c r="P14" s="46">
        <f>$D$32+$D$29</f>
        <v/>
      </c>
      <c r="Q14" s="46">
        <f>$D$28</f>
        <v/>
      </c>
    </row>
    <row r="15">
      <c r="B15" s="4" t="inlineStr">
        <is>
          <t>Relleno y suelo de cimentación</t>
        </is>
      </c>
      <c r="H15" s="46" t="n">
        <v>9</v>
      </c>
      <c r="I15" s="46">
        <f>(8+0.5)*$D$32/20</f>
        <v/>
      </c>
      <c r="J15" s="46">
        <f>IF(ABS($D$142)&lt;=$D$43/6,$D$143+($D$144-$D$143)*(I15)/$D$43,IF($D$142&gt;0,MAX(0,$D$143*(1-(I15)/(3*$D$141))),MAX(0,$D$144*(1-($D$43-(I15))/(3*($D$43-$D$141))))))</f>
        <v/>
      </c>
      <c r="K15" s="46">
        <f>$D$32+$D$30+(8+0.5)*$D$33/20</f>
        <v/>
      </c>
      <c r="L15" s="46">
        <f>IF(ABS($D$142)&lt;=$D$43/6,$D$143+($D$144-$D$143)*(K15)/$D$43,IF($D$142&gt;0,MAX(0,$D$143*(1-(K15)/(3*$D$141))),MAX(0,$D$144*(1-($D$43-(K15))/(3*($D$43-$D$141))))))</f>
        <v/>
      </c>
      <c r="M15" s="46" t="n"/>
      <c r="N15" s="46">
        <f>IF(ABS($D$147)&lt;=$D$43/6,$D$148+($D$149-$D$148)*(I15)/$D$43,IF($D$147&gt;0,MAX(0,$D$148*(1-(I15)/(3*$D$146))),MAX(0,$D$149*(1-($D$43-(I15))/(3*($D$43-$D$146))))))</f>
        <v/>
      </c>
      <c r="O15" s="46">
        <f>IF(ABS($D$147)&lt;=$D$43/6,$D$148+($D$149-$D$148)*(K15)/$D$43,IF($D$147&gt;0,MAX(0,$D$148*(1-(K15)/(3*$D$146))),MAX(0,$D$149*(1-($D$43-(K15))/(3*($D$43-$D$146))))))</f>
        <v/>
      </c>
      <c r="P15" s="46">
        <f>$D$32</f>
        <v/>
      </c>
      <c r="Q15" s="46">
        <f>$D$28</f>
        <v/>
      </c>
    </row>
    <row r="16" ht="13.5" customHeight="1">
      <c r="B16" s="9" t="inlineStr">
        <is>
          <t>Peso unitario del relleno</t>
        </is>
      </c>
      <c r="C16" s="22" t="inlineStr">
        <is>
          <t>γs</t>
        </is>
      </c>
      <c r="D16" s="25" t="n">
        <v>1.8</v>
      </c>
      <c r="E16" s="24" t="inlineStr">
        <is>
          <t>t/m³</t>
        </is>
      </c>
      <c r="F16" s="27" t="inlineStr">
        <is>
          <t>Del EMS</t>
        </is>
      </c>
      <c r="H16" s="46" t="n">
        <v>10</v>
      </c>
      <c r="I16" s="46">
        <f>(9+0.5)*$D$32/20</f>
        <v/>
      </c>
      <c r="J16" s="46">
        <f>IF(ABS($D$142)&lt;=$D$43/6,$D$143+($D$144-$D$143)*(I16)/$D$43,IF($D$142&gt;0,MAX(0,$D$143*(1-(I16)/(3*$D$141))),MAX(0,$D$144*(1-($D$43-(I16))/(3*($D$43-$D$141))))))</f>
        <v/>
      </c>
      <c r="K16" s="46">
        <f>$D$32+$D$30+(9+0.5)*$D$33/20</f>
        <v/>
      </c>
      <c r="L16" s="46">
        <f>IF(ABS($D$142)&lt;=$D$43/6,$D$143+($D$144-$D$143)*(K16)/$D$43,IF($D$142&gt;0,MAX(0,$D$143*(1-(K16)/(3*$D$141))),MAX(0,$D$144*(1-($D$43-(K16))/(3*($D$43-$D$141))))))</f>
        <v/>
      </c>
      <c r="M16" s="46" t="n"/>
      <c r="N16" s="46">
        <f>IF(ABS($D$147)&lt;=$D$43/6,$D$148+($D$149-$D$148)*(I16)/$D$43,IF($D$147&gt;0,MAX(0,$D$148*(1-(I16)/(3*$D$146))),MAX(0,$D$149*(1-($D$43-(I16))/(3*($D$43-$D$146))))))</f>
        <v/>
      </c>
      <c r="O16" s="46">
        <f>IF(ABS($D$147)&lt;=$D$43/6,$D$148+($D$149-$D$148)*(K16)/$D$43,IF($D$147&gt;0,MAX(0,$D$148*(1-(K16)/(3*$D$146))),MAX(0,$D$149*(1-($D$43-(K16))/(3*($D$43-$D$146))))))</f>
        <v/>
      </c>
      <c r="P16" s="46">
        <f>$D$32</f>
        <v/>
      </c>
      <c r="Q16" s="46">
        <f>$D$31</f>
        <v/>
      </c>
    </row>
    <row r="17" ht="24" customHeight="1">
      <c r="B17" s="9" t="inlineStr">
        <is>
          <t>Ángulo de fricción interna del relleno</t>
        </is>
      </c>
      <c r="C17" s="22" t="inlineStr">
        <is>
          <t>ϕ</t>
        </is>
      </c>
      <c r="D17" s="35" t="n">
        <v>30</v>
      </c>
      <c r="E17" s="24" t="inlineStr">
        <is>
          <t>°</t>
        </is>
      </c>
      <c r="F17" s="27" t="inlineStr">
        <is>
          <t>Relleno horizontal, sin agua (drenaje con lloraderos)</t>
        </is>
      </c>
      <c r="H17" s="46" t="n">
        <v>11</v>
      </c>
      <c r="I17" s="46">
        <f>(10+0.5)*$D$32/20</f>
        <v/>
      </c>
      <c r="J17" s="46">
        <f>IF(ABS($D$142)&lt;=$D$43/6,$D$143+($D$144-$D$143)*(I17)/$D$43,IF($D$142&gt;0,MAX(0,$D$143*(1-(I17)/(3*$D$141))),MAX(0,$D$144*(1-($D$43-(I17))/(3*($D$43-$D$141))))))</f>
        <v/>
      </c>
      <c r="K17" s="46">
        <f>$D$32+$D$30+(10+0.5)*$D$33/20</f>
        <v/>
      </c>
      <c r="L17" s="46">
        <f>IF(ABS($D$142)&lt;=$D$43/6,$D$143+($D$144-$D$143)*(K17)/$D$43,IF($D$142&gt;0,MAX(0,$D$143*(1-(K17)/(3*$D$141))),MAX(0,$D$144*(1-($D$43-(K17))/(3*($D$43-$D$141))))))</f>
        <v/>
      </c>
      <c r="M17" s="46" t="n"/>
      <c r="N17" s="46">
        <f>IF(ABS($D$147)&lt;=$D$43/6,$D$148+($D$149-$D$148)*(I17)/$D$43,IF($D$147&gt;0,MAX(0,$D$148*(1-(I17)/(3*$D$146))),MAX(0,$D$149*(1-($D$43-(I17))/(3*($D$43-$D$146))))))</f>
        <v/>
      </c>
      <c r="O17" s="46">
        <f>IF(ABS($D$147)&lt;=$D$43/6,$D$148+($D$149-$D$148)*(K17)/$D$43,IF($D$147&gt;0,MAX(0,$D$148*(1-(K17)/(3*$D$146))),MAX(0,$D$149*(1-($D$43-(K17))/(3*($D$43-$D$146))))))</f>
        <v/>
      </c>
      <c r="P17" s="46">
        <f>0</f>
        <v/>
      </c>
      <c r="Q17" s="46">
        <f>$D$31</f>
        <v/>
      </c>
    </row>
    <row r="18" ht="24" customHeight="1">
      <c r="B18" s="9" t="inlineStr">
        <is>
          <t>Sobrecarga sobre el relleno</t>
        </is>
      </c>
      <c r="C18" s="22" t="inlineStr">
        <is>
          <t>s/c</t>
        </is>
      </c>
      <c r="D18" s="25" t="n">
        <v>1</v>
      </c>
      <c r="E18" s="24" t="inlineStr">
        <is>
          <t>t/m²</t>
        </is>
      </c>
      <c r="F18" s="27" t="inlineStr">
        <is>
          <t>Tránsito liviano ≈ 1.0 t/m²; vivienda ≈ 0.2–0.5 t/m²</t>
        </is>
      </c>
      <c r="H18" s="46" t="n">
        <v>12</v>
      </c>
      <c r="I18" s="46">
        <f>(11+0.5)*$D$32/20</f>
        <v/>
      </c>
      <c r="J18" s="46">
        <f>IF(ABS($D$142)&lt;=$D$43/6,$D$143+($D$144-$D$143)*(I18)/$D$43,IF($D$142&gt;0,MAX(0,$D$143*(1-(I18)/(3*$D$141))),MAX(0,$D$144*(1-($D$43-(I18))/(3*($D$43-$D$141))))))</f>
        <v/>
      </c>
      <c r="K18" s="46">
        <f>$D$32+$D$30+(11+0.5)*$D$33/20</f>
        <v/>
      </c>
      <c r="L18" s="46">
        <f>IF(ABS($D$142)&lt;=$D$43/6,$D$143+($D$144-$D$143)*(K18)/$D$43,IF($D$142&gt;0,MAX(0,$D$143*(1-(K18)/(3*$D$141))),MAX(0,$D$144*(1-($D$43-(K18))/(3*($D$43-$D$141))))))</f>
        <v/>
      </c>
      <c r="M18" s="46" t="n"/>
      <c r="N18" s="46">
        <f>IF(ABS($D$147)&lt;=$D$43/6,$D$148+($D$149-$D$148)*(I18)/$D$43,IF($D$147&gt;0,MAX(0,$D$148*(1-(I18)/(3*$D$146))),MAX(0,$D$149*(1-($D$43-(I18))/(3*($D$43-$D$146))))))</f>
        <v/>
      </c>
      <c r="O18" s="46">
        <f>IF(ABS($D$147)&lt;=$D$43/6,$D$148+($D$149-$D$148)*(K18)/$D$43,IF($D$147&gt;0,MAX(0,$D$148*(1-(K18)/(3*$D$146))),MAX(0,$D$149*(1-($D$43-(K18))/(3*($D$43-$D$146))))))</f>
        <v/>
      </c>
      <c r="P18" s="46">
        <f>0</f>
        <v/>
      </c>
      <c r="Q18" s="46">
        <f>0</f>
        <v/>
      </c>
    </row>
    <row r="19" ht="13.5" customHeight="1">
      <c r="B19" s="9" t="inlineStr">
        <is>
          <t>Capacidad portante admisible</t>
        </is>
      </c>
      <c r="C19" s="22" t="inlineStr">
        <is>
          <t>qadm</t>
        </is>
      </c>
      <c r="D19" s="25" t="n">
        <v>2</v>
      </c>
      <c r="E19" s="24" t="inlineStr">
        <is>
          <t>kgf/cm²</t>
        </is>
      </c>
      <c r="F19" s="27" t="inlineStr">
        <is>
          <t>Del EMS</t>
        </is>
      </c>
      <c r="H19" s="46" t="n">
        <v>13</v>
      </c>
      <c r="I19" s="46">
        <f>(12+0.5)*$D$32/20</f>
        <v/>
      </c>
      <c r="J19" s="46">
        <f>IF(ABS($D$142)&lt;=$D$43/6,$D$143+($D$144-$D$143)*(I19)/$D$43,IF($D$142&gt;0,MAX(0,$D$143*(1-(I19)/(3*$D$141))),MAX(0,$D$144*(1-($D$43-(I19))/(3*($D$43-$D$141))))))</f>
        <v/>
      </c>
      <c r="K19" s="46">
        <f>$D$32+$D$30+(12+0.5)*$D$33/20</f>
        <v/>
      </c>
      <c r="L19" s="46">
        <f>IF(ABS($D$142)&lt;=$D$43/6,$D$143+($D$144-$D$143)*(K19)/$D$43,IF($D$142&gt;0,MAX(0,$D$143*(1-(K19)/(3*$D$141))),MAX(0,$D$144*(1-($D$43-(K19))/(3*($D$43-$D$141))))))</f>
        <v/>
      </c>
      <c r="M19" s="46" t="n"/>
      <c r="N19" s="46">
        <f>IF(ABS($D$147)&lt;=$D$43/6,$D$148+($D$149-$D$148)*(I19)/$D$43,IF($D$147&gt;0,MAX(0,$D$148*(1-(I19)/(3*$D$146))),MAX(0,$D$149*(1-($D$43-(I19))/(3*($D$43-$D$146))))))</f>
        <v/>
      </c>
      <c r="O19" s="46">
        <f>IF(ABS($D$147)&lt;=$D$43/6,$D$148+($D$149-$D$148)*(K19)/$D$43,IF($D$147&gt;0,MAX(0,$D$148*(1-(K19)/(3*$D$146))),MAX(0,$D$149*(1-($D$43-(K19))/(3*($D$43-$D$146))))))</f>
        <v/>
      </c>
      <c r="P19" s="46" t="n"/>
      <c r="Q19" s="46" t="n"/>
    </row>
    <row r="20" ht="24" customHeight="1">
      <c r="B20" s="9" t="inlineStr">
        <is>
          <t>Coeficiente de fricción suelo–concreto</t>
        </is>
      </c>
      <c r="C20" s="22" t="inlineStr">
        <is>
          <t>μ</t>
        </is>
      </c>
      <c r="D20" s="25" t="n">
        <v>0.55</v>
      </c>
      <c r="E20" s="24" t="inlineStr"/>
      <c r="F20" s="27" t="inlineStr">
        <is>
          <t>μ = tan δ (≈ 0.45 limos · 0.55 arenas · 0.60 gravas)</t>
        </is>
      </c>
      <c r="H20" s="46" t="n">
        <v>14</v>
      </c>
      <c r="I20" s="46">
        <f>(13+0.5)*$D$32/20</f>
        <v/>
      </c>
      <c r="J20" s="46">
        <f>IF(ABS($D$142)&lt;=$D$43/6,$D$143+($D$144-$D$143)*(I20)/$D$43,IF($D$142&gt;0,MAX(0,$D$143*(1-(I20)/(3*$D$141))),MAX(0,$D$144*(1-($D$43-(I20))/(3*($D$43-$D$141))))))</f>
        <v/>
      </c>
      <c r="K20" s="46">
        <f>$D$32+$D$30+(13+0.5)*$D$33/20</f>
        <v/>
      </c>
      <c r="L20" s="46">
        <f>IF(ABS($D$142)&lt;=$D$43/6,$D$143+($D$144-$D$143)*(K20)/$D$43,IF($D$142&gt;0,MAX(0,$D$143*(1-(K20)/(3*$D$141))),MAX(0,$D$144*(1-($D$43-(K20))/(3*($D$43-$D$141))))))</f>
        <v/>
      </c>
      <c r="M20" s="46" t="n"/>
      <c r="N20" s="46">
        <f>IF(ABS($D$147)&lt;=$D$43/6,$D$148+($D$149-$D$148)*(I20)/$D$43,IF($D$147&gt;0,MAX(0,$D$148*(1-(I20)/(3*$D$146))),MAX(0,$D$149*(1-($D$43-(I20))/(3*($D$43-$D$146))))))</f>
        <v/>
      </c>
      <c r="O20" s="46">
        <f>IF(ABS($D$147)&lt;=$D$43/6,$D$148+($D$149-$D$148)*(K20)/$D$43,IF($D$147&gt;0,MAX(0,$D$148*(1-(K20)/(3*$D$146))),MAX(0,$D$149*(1-($D$43-(K20))/(3*($D$43-$D$146))))))</f>
        <v/>
      </c>
      <c r="P20" s="46">
        <f>$D$32+$D$29</f>
        <v/>
      </c>
      <c r="Q20" s="46">
        <f>$D$28</f>
        <v/>
      </c>
    </row>
    <row r="21" ht="13.5" customHeight="1">
      <c r="B21" s="9" t="inlineStr">
        <is>
          <t>Factor de seguridad mínimo al volteo</t>
        </is>
      </c>
      <c r="C21" s="22" t="inlineStr">
        <is>
          <t>FSV</t>
        </is>
      </c>
      <c r="D21" s="25" t="n">
        <v>2</v>
      </c>
      <c r="E21" s="24" t="inlineStr"/>
      <c r="F21" s="27" t="inlineStr">
        <is>
          <t>E.050 / práctica usual: 2.0</t>
        </is>
      </c>
      <c r="H21" s="46" t="n">
        <v>15</v>
      </c>
      <c r="I21" s="46">
        <f>(14+0.5)*$D$32/20</f>
        <v/>
      </c>
      <c r="J21" s="46">
        <f>IF(ABS($D$142)&lt;=$D$43/6,$D$143+($D$144-$D$143)*(I21)/$D$43,IF($D$142&gt;0,MAX(0,$D$143*(1-(I21)/(3*$D$141))),MAX(0,$D$144*(1-($D$43-(I21))/(3*($D$43-$D$141))))))</f>
        <v/>
      </c>
      <c r="K21" s="46">
        <f>$D$32+$D$30+(14+0.5)*$D$33/20</f>
        <v/>
      </c>
      <c r="L21" s="46">
        <f>IF(ABS($D$142)&lt;=$D$43/6,$D$143+($D$144-$D$143)*(K21)/$D$43,IF($D$142&gt;0,MAX(0,$D$143*(1-(K21)/(3*$D$141))),MAX(0,$D$144*(1-($D$43-(K21))/(3*($D$43-$D$141))))))</f>
        <v/>
      </c>
      <c r="M21" s="46" t="n"/>
      <c r="N21" s="46">
        <f>IF(ABS($D$147)&lt;=$D$43/6,$D$148+($D$149-$D$148)*(I21)/$D$43,IF($D$147&gt;0,MAX(0,$D$148*(1-(I21)/(3*$D$146))),MAX(0,$D$149*(1-($D$43-(I21))/(3*($D$43-$D$146))))))</f>
        <v/>
      </c>
      <c r="O21" s="46">
        <f>IF(ABS($D$147)&lt;=$D$43/6,$D$148+($D$149-$D$148)*(K21)/$D$43,IF($D$147&gt;0,MAX(0,$D$148*(1-(K21)/(3*$D$146))),MAX(0,$D$149*(1-($D$43-(K21))/(3*($D$43-$D$146))))))</f>
        <v/>
      </c>
      <c r="P21" s="46">
        <f>$D$43+0.6</f>
        <v/>
      </c>
      <c r="Q21" s="46">
        <f>$D$28</f>
        <v/>
      </c>
    </row>
    <row r="22" ht="13.5" customHeight="1">
      <c r="B22" s="9" t="inlineStr">
        <is>
          <t>Factor de seguridad mínimo al deslizamiento</t>
        </is>
      </c>
      <c r="C22" s="22" t="inlineStr">
        <is>
          <t>FSD</t>
        </is>
      </c>
      <c r="D22" s="25" t="n">
        <v>1.5</v>
      </c>
      <c r="E22" s="24" t="inlineStr"/>
      <c r="F22" s="27" t="inlineStr">
        <is>
          <t>E.050 / práctica usual: 1.5</t>
        </is>
      </c>
      <c r="H22" s="46" t="n">
        <v>16</v>
      </c>
      <c r="I22" s="46">
        <f>(15+0.5)*$D$32/20</f>
        <v/>
      </c>
      <c r="J22" s="46">
        <f>IF(ABS($D$142)&lt;=$D$43/6,$D$143+($D$144-$D$143)*(I22)/$D$43,IF($D$142&gt;0,MAX(0,$D$143*(1-(I22)/(3*$D$141))),MAX(0,$D$144*(1-($D$43-(I22))/(3*($D$43-$D$141))))))</f>
        <v/>
      </c>
      <c r="K22" s="46">
        <f>$D$32+$D$30+(15+0.5)*$D$33/20</f>
        <v/>
      </c>
      <c r="L22" s="46">
        <f>IF(ABS($D$142)&lt;=$D$43/6,$D$143+($D$144-$D$143)*(K22)/$D$43,IF($D$142&gt;0,MAX(0,$D$143*(1-(K22)/(3*$D$141))),MAX(0,$D$144*(1-($D$43-(K22))/(3*($D$43-$D$141))))))</f>
        <v/>
      </c>
      <c r="M22" s="46" t="n"/>
      <c r="N22" s="46">
        <f>IF(ABS($D$147)&lt;=$D$43/6,$D$148+($D$149-$D$148)*(I22)/$D$43,IF($D$147&gt;0,MAX(0,$D$148*(1-(I22)/(3*$D$146))),MAX(0,$D$149*(1-($D$43-(I22))/(3*($D$43-$D$146))))))</f>
        <v/>
      </c>
      <c r="O22" s="46">
        <f>IF(ABS($D$147)&lt;=$D$43/6,$D$148+($D$149-$D$148)*(K22)/$D$43,IF($D$147&gt;0,MAX(0,$D$148*(1-(K22)/(3*$D$146))),MAX(0,$D$149*(1-($D$43-(K22))/(3*($D$43-$D$146))))))</f>
        <v/>
      </c>
      <c r="P22" s="46" t="n"/>
      <c r="Q22" s="46" t="n"/>
    </row>
    <row r="23">
      <c r="B23" s="4" t="inlineStr">
        <is>
          <t>Sismo (Mononobe–Okabe, kv = 0)</t>
        </is>
      </c>
      <c r="H23" s="46" t="n">
        <v>17</v>
      </c>
      <c r="I23" s="46">
        <f>(16+0.5)*$D$32/20</f>
        <v/>
      </c>
      <c r="J23" s="46">
        <f>IF(ABS($D$142)&lt;=$D$43/6,$D$143+($D$144-$D$143)*(I23)/$D$43,IF($D$142&gt;0,MAX(0,$D$143*(1-(I23)/(3*$D$141))),MAX(0,$D$144*(1-($D$43-(I23))/(3*($D$43-$D$141))))))</f>
        <v/>
      </c>
      <c r="K23" s="46">
        <f>$D$32+$D$30+(16+0.5)*$D$33/20</f>
        <v/>
      </c>
      <c r="L23" s="46">
        <f>IF(ABS($D$142)&lt;=$D$43/6,$D$143+($D$144-$D$143)*(K23)/$D$43,IF($D$142&gt;0,MAX(0,$D$143*(1-(K23)/(3*$D$141))),MAX(0,$D$144*(1-($D$43-(K23))/(3*($D$43-$D$141))))))</f>
        <v/>
      </c>
      <c r="M23" s="46" t="n"/>
      <c r="N23" s="46">
        <f>IF(ABS($D$147)&lt;=$D$43/6,$D$148+($D$149-$D$148)*(I23)/$D$43,IF($D$147&gt;0,MAX(0,$D$148*(1-(I23)/(3*$D$146))),MAX(0,$D$149*(1-($D$43-(I23))/(3*($D$43-$D$146))))))</f>
        <v/>
      </c>
      <c r="O23" s="46">
        <f>IF(ABS($D$147)&lt;=$D$43/6,$D$148+($D$149-$D$148)*(K23)/$D$43,IF($D$147&gt;0,MAX(0,$D$148*(1-(K23)/(3*$D$146))),MAX(0,$D$149*(1-($D$43-(K23))/(3*($D$43-$D$146))))))</f>
        <v/>
      </c>
      <c r="P23" s="46">
        <f>-0.6</f>
        <v/>
      </c>
      <c r="Q23" s="46">
        <f>$D$34</f>
        <v/>
      </c>
    </row>
    <row r="24" ht="13.5" customHeight="1">
      <c r="B24" s="9" t="inlineStr">
        <is>
          <t>Coeficiente sísmico horizontal kh</t>
        </is>
      </c>
      <c r="C24" s="22" t="inlineStr">
        <is>
          <t>kh</t>
        </is>
      </c>
      <c r="D24" s="55" t="n">
        <v>0.175</v>
      </c>
      <c r="E24" s="24" t="inlineStr"/>
      <c r="F24" s="27" t="inlineStr">
        <is>
          <t>Usual kh ≈ Z/2 (E.030). 0 = sin sismo</t>
        </is>
      </c>
      <c r="H24" s="46" t="n">
        <v>18</v>
      </c>
      <c r="I24" s="46">
        <f>(17+0.5)*$D$32/20</f>
        <v/>
      </c>
      <c r="J24" s="46">
        <f>IF(ABS($D$142)&lt;=$D$43/6,$D$143+($D$144-$D$143)*(I24)/$D$43,IF($D$142&gt;0,MAX(0,$D$143*(1-(I24)/(3*$D$141))),MAX(0,$D$144*(1-($D$43-(I24))/(3*($D$43-$D$141))))))</f>
        <v/>
      </c>
      <c r="K24" s="46">
        <f>$D$32+$D$30+(17+0.5)*$D$33/20</f>
        <v/>
      </c>
      <c r="L24" s="46">
        <f>IF(ABS($D$142)&lt;=$D$43/6,$D$143+($D$144-$D$143)*(K24)/$D$43,IF($D$142&gt;0,MAX(0,$D$143*(1-(K24)/(3*$D$141))),MAX(0,$D$144*(1-($D$43-(K24))/(3*($D$43-$D$141))))))</f>
        <v/>
      </c>
      <c r="M24" s="46" t="n"/>
      <c r="N24" s="46">
        <f>IF(ABS($D$147)&lt;=$D$43/6,$D$148+($D$149-$D$148)*(I24)/$D$43,IF($D$147&gt;0,MAX(0,$D$148*(1-(I24)/(3*$D$146))),MAX(0,$D$149*(1-($D$43-(I24))/(3*($D$43-$D$146))))))</f>
        <v/>
      </c>
      <c r="O24" s="46">
        <f>IF(ABS($D$147)&lt;=$D$43/6,$D$148+($D$149-$D$148)*(K24)/$D$43,IF($D$147&gt;0,MAX(0,$D$148*(1-(K24)/(3*$D$146))),MAX(0,$D$149*(1-($D$43-(K24))/(3*($D$43-$D$146))))))</f>
        <v/>
      </c>
      <c r="P24" s="46">
        <f>$D$32</f>
        <v/>
      </c>
      <c r="Q24" s="46">
        <f>$D$34</f>
        <v/>
      </c>
    </row>
    <row r="25" ht="13.5" customHeight="1">
      <c r="B25" s="9" t="inlineStr">
        <is>
          <t>FS mínimo al volteo con sismo</t>
        </is>
      </c>
      <c r="C25" s="22" t="inlineStr">
        <is>
          <t>FSVs</t>
        </is>
      </c>
      <c r="D25" s="25" t="n">
        <v>1.5</v>
      </c>
      <c r="E25" s="24" t="inlineStr"/>
      <c r="F25" s="27" t="inlineStr">
        <is>
          <t>Práctica usual 1.5</t>
        </is>
      </c>
      <c r="H25" s="46" t="n">
        <v>19</v>
      </c>
      <c r="I25" s="46">
        <f>(18+0.5)*$D$32/20</f>
        <v/>
      </c>
      <c r="J25" s="46">
        <f>IF(ABS($D$142)&lt;=$D$43/6,$D$143+($D$144-$D$143)*(I25)/$D$43,IF($D$142&gt;0,MAX(0,$D$143*(1-(I25)/(3*$D$141))),MAX(0,$D$144*(1-($D$43-(I25))/(3*($D$43-$D$141))))))</f>
        <v/>
      </c>
      <c r="K25" s="46">
        <f>$D$32+$D$30+(18+0.5)*$D$33/20</f>
        <v/>
      </c>
      <c r="L25" s="46">
        <f>IF(ABS($D$142)&lt;=$D$43/6,$D$143+($D$144-$D$143)*(K25)/$D$43,IF($D$142&gt;0,MAX(0,$D$143*(1-(K25)/(3*$D$141))),MAX(0,$D$144*(1-($D$43-(K25))/(3*($D$43-$D$141))))))</f>
        <v/>
      </c>
      <c r="M25" s="46" t="n"/>
      <c r="N25" s="46">
        <f>IF(ABS($D$147)&lt;=$D$43/6,$D$148+($D$149-$D$148)*(I25)/$D$43,IF($D$147&gt;0,MAX(0,$D$148*(1-(I25)/(3*$D$146))),MAX(0,$D$149*(1-($D$43-(I25))/(3*($D$43-$D$146))))))</f>
        <v/>
      </c>
      <c r="O25" s="46">
        <f>IF(ABS($D$147)&lt;=$D$43/6,$D$148+($D$149-$D$148)*(K25)/$D$43,IF($D$147&gt;0,MAX(0,$D$148*(1-(K25)/(3*$D$146))),MAX(0,$D$149*(1-($D$43-(K25))/(3*($D$43-$D$146))))))</f>
        <v/>
      </c>
      <c r="P25" s="46" t="n"/>
      <c r="Q25" s="46" t="n"/>
    </row>
    <row r="26" ht="13.5" customHeight="1">
      <c r="B26" s="9" t="inlineStr">
        <is>
          <t>FS mínimo al deslizamiento con sismo</t>
        </is>
      </c>
      <c r="C26" s="22" t="inlineStr">
        <is>
          <t>FSDs</t>
        </is>
      </c>
      <c r="D26" s="25" t="n">
        <v>1.25</v>
      </c>
      <c r="E26" s="24" t="inlineStr"/>
      <c r="F26" s="27" t="inlineStr">
        <is>
          <t>Práctica usual 1.25</t>
        </is>
      </c>
      <c r="H26" s="46" t="n">
        <v>20</v>
      </c>
      <c r="I26" s="46">
        <f>(19+0.5)*$D$32/20</f>
        <v/>
      </c>
      <c r="J26" s="46">
        <f>IF(ABS($D$142)&lt;=$D$43/6,$D$143+($D$144-$D$143)*(I26)/$D$43,IF($D$142&gt;0,MAX(0,$D$143*(1-(I26)/(3*$D$141))),MAX(0,$D$144*(1-($D$43-(I26))/(3*($D$43-$D$141))))))</f>
        <v/>
      </c>
      <c r="K26" s="46">
        <f>$D$32+$D$30+(19+0.5)*$D$33/20</f>
        <v/>
      </c>
      <c r="L26" s="46">
        <f>IF(ABS($D$142)&lt;=$D$43/6,$D$143+($D$144-$D$143)*(K26)/$D$43,IF($D$142&gt;0,MAX(0,$D$143*(1-(K26)/(3*$D$141))),MAX(0,$D$144*(1-($D$43-(K26))/(3*($D$43-$D$141))))))</f>
        <v/>
      </c>
      <c r="M26" s="46" t="n"/>
      <c r="N26" s="46">
        <f>IF(ABS($D$147)&lt;=$D$43/6,$D$148+($D$149-$D$148)*(I26)/$D$43,IF($D$147&gt;0,MAX(0,$D$148*(1-(I26)/(3*$D$146))),MAX(0,$D$149*(1-($D$43-(I26))/(3*($D$43-$D$146))))))</f>
        <v/>
      </c>
      <c r="O26" s="46">
        <f>IF(ABS($D$147)&lt;=$D$43/6,$D$148+($D$149-$D$148)*(K26)/$D$43,IF($D$147&gt;0,MAX(0,$D$148*(1-(K26)/(3*$D$146))),MAX(0,$D$149*(1-($D$43-(K26))/(3*($D$43-$D$146))))))</f>
        <v/>
      </c>
      <c r="P26" s="46">
        <f>-0.7</f>
        <v/>
      </c>
      <c r="Q26" s="46">
        <f>-0.3-$D$35</f>
        <v/>
      </c>
    </row>
    <row r="27">
      <c r="B27" s="4" t="inlineStr">
        <is>
          <t>Geometría (cara frontal vertical, cara del relleno inclinada)</t>
        </is>
      </c>
      <c r="P27" s="46">
        <f>-0.7+MAX($D$43+1.4,$D$28+0.6+$D$35)</f>
        <v/>
      </c>
      <c r="Q27" s="46">
        <f>-0.3-$D$35+MAX($D$43+1.4,$D$28+0.6+$D$35)</f>
        <v/>
      </c>
    </row>
    <row r="28" ht="24" customHeight="1">
      <c r="B28" s="9" t="inlineStr">
        <is>
          <t>Altura total del muro (desde el fondo de la zapata)</t>
        </is>
      </c>
      <c r="C28" s="22" t="inlineStr">
        <is>
          <t>H</t>
        </is>
      </c>
      <c r="D28" s="25" t="n">
        <v>4</v>
      </c>
      <c r="E28" s="24" t="inlineStr">
        <is>
          <t>m</t>
        </is>
      </c>
    </row>
    <row r="29" ht="13.5" customHeight="1">
      <c r="B29" s="9" t="inlineStr">
        <is>
          <t>Espesor de la pantalla en la corona</t>
        </is>
      </c>
      <c r="C29" s="22" t="inlineStr">
        <is>
          <t>t1</t>
        </is>
      </c>
      <c r="D29" s="25" t="n">
        <v>0.25</v>
      </c>
      <c r="E29" s="24" t="inlineStr">
        <is>
          <t>m</t>
        </is>
      </c>
      <c r="F29" s="27" t="inlineStr">
        <is>
          <t>Mínimo constructivo 0.20–0.25 m</t>
        </is>
      </c>
    </row>
    <row r="30" ht="13.5" customHeight="1">
      <c r="B30" s="9" t="inlineStr">
        <is>
          <t>Espesor de la pantalla en la base</t>
        </is>
      </c>
      <c r="C30" s="22" t="inlineStr">
        <is>
          <t>t2</t>
        </is>
      </c>
      <c r="D30" s="25" t="n">
        <v>0.4</v>
      </c>
      <c r="E30" s="24" t="inlineStr">
        <is>
          <t>m</t>
        </is>
      </c>
      <c r="F30" s="27" t="inlineStr">
        <is>
          <t>Sugerido ≈ H/10 a H/12</t>
        </is>
      </c>
    </row>
    <row r="31" ht="13.5" customHeight="1">
      <c r="B31" s="9" t="inlineStr">
        <is>
          <t>Espesor de la zapata</t>
        </is>
      </c>
      <c r="C31" s="22" t="inlineStr">
        <is>
          <t>hz</t>
        </is>
      </c>
      <c r="D31" s="25" t="n">
        <v>0.45</v>
      </c>
      <c r="E31" s="24" t="inlineStr">
        <is>
          <t>m</t>
        </is>
      </c>
      <c r="F31" s="27" t="inlineStr">
        <is>
          <t>Sugerido ≈ H/10, mínimo 0.40 m</t>
        </is>
      </c>
    </row>
    <row r="32" ht="13.5" customHeight="1">
      <c r="B32" s="9" t="inlineStr">
        <is>
          <t>Longitud de la puntera (delante de la pantalla)</t>
        </is>
      </c>
      <c r="C32" s="22" t="inlineStr">
        <is>
          <t>B1</t>
        </is>
      </c>
      <c r="D32" s="25" t="n">
        <v>0.9</v>
      </c>
      <c r="E32" s="24" t="inlineStr">
        <is>
          <t>m</t>
        </is>
      </c>
      <c r="F32" s="27" t="inlineStr">
        <is>
          <t>Sugerido ≈ B/3</t>
        </is>
      </c>
    </row>
    <row r="33" ht="13.5" customHeight="1">
      <c r="B33" s="9" t="inlineStr">
        <is>
          <t>Longitud del talón (detrás de la pantalla)</t>
        </is>
      </c>
      <c r="C33" s="22" t="inlineStr">
        <is>
          <t>B2</t>
        </is>
      </c>
      <c r="D33" s="25" t="n">
        <v>2.4</v>
      </c>
      <c r="E33" s="24" t="inlineStr">
        <is>
          <t>m</t>
        </is>
      </c>
    </row>
    <row r="34" ht="24" customHeight="1">
      <c r="B34" s="9" t="inlineStr">
        <is>
          <t>Profundidad de desplante (relleno sobre la puntera = Df − hz)</t>
        </is>
      </c>
      <c r="C34" s="22" t="inlineStr">
        <is>
          <t>Df</t>
        </is>
      </c>
      <c r="D34" s="25" t="n">
        <v>0.8</v>
      </c>
      <c r="E34" s="24" t="inlineStr">
        <is>
          <t>m</t>
        </is>
      </c>
    </row>
    <row r="35" ht="24" customHeight="1">
      <c r="B35" s="9" t="inlineStr">
        <is>
          <t>Profundidad del diente (llave de corte) bajo la zapata</t>
        </is>
      </c>
      <c r="C35" s="22" t="inlineStr">
        <is>
          <t>hd</t>
        </is>
      </c>
      <c r="D35" s="25" t="n">
        <v>0.6</v>
      </c>
      <c r="E35" s="24" t="inlineStr">
        <is>
          <t>m</t>
        </is>
      </c>
      <c r="F35" s="27" t="inlineStr">
        <is>
          <t>0 = sin diente; ancho del diente = t2, bajo la pantalla</t>
        </is>
      </c>
    </row>
    <row r="36" ht="13.5" customHeight="1">
      <c r="B36" s="9" t="inlineStr">
        <is>
          <t>Recubrimiento de la pantalla</t>
        </is>
      </c>
      <c r="C36" s="22" t="inlineStr">
        <is>
          <t>rp</t>
        </is>
      </c>
      <c r="D36" s="35" t="n">
        <v>5</v>
      </c>
      <c r="E36" s="24" t="inlineStr">
        <is>
          <t>cm</t>
        </is>
      </c>
      <c r="F36" s="27" t="inlineStr">
        <is>
          <t>E.060 7.7.1(b): en contacto con el suelo</t>
        </is>
      </c>
    </row>
    <row r="37" ht="13.5" customHeight="1">
      <c r="B37" s="9" t="inlineStr">
        <is>
          <t>Recubrimiento de la zapata</t>
        </is>
      </c>
      <c r="C37" s="22" t="inlineStr">
        <is>
          <t>rz</t>
        </is>
      </c>
      <c r="D37" s="35" t="n">
        <v>7.5</v>
      </c>
      <c r="E37" s="24" t="inlineStr">
        <is>
          <t>cm</t>
        </is>
      </c>
      <c r="F37" s="27" t="inlineStr">
        <is>
          <t>E.060 7.7.1(a)</t>
        </is>
      </c>
    </row>
    <row r="38" ht="24" customHeight="1">
      <c r="B38" s="9" t="inlineStr">
        <is>
          <t>Varilla vertical de la pantalla (cara del relleno)</t>
        </is>
      </c>
      <c r="C38" s="22" t="inlineStr">
        <is>
          <t>Øp</t>
        </is>
      </c>
      <c r="D38" s="31" t="inlineStr">
        <is>
          <t>5/8"</t>
        </is>
      </c>
      <c r="E38" s="24" t="inlineStr"/>
    </row>
    <row r="39" ht="13.5" customHeight="1">
      <c r="B39" s="9" t="inlineStr">
        <is>
          <t>Varilla principal de la zapata</t>
        </is>
      </c>
      <c r="C39" s="22" t="inlineStr">
        <is>
          <t>Øz</t>
        </is>
      </c>
      <c r="D39" s="31" t="inlineStr">
        <is>
          <t>5/8"</t>
        </is>
      </c>
      <c r="E39" s="24" t="inlineStr"/>
    </row>
    <row r="40" ht="13.5" customHeight="1">
      <c r="B40" s="9" t="inlineStr">
        <is>
          <t>Varilla transversal de la zapata</t>
        </is>
      </c>
      <c r="C40" s="22" t="inlineStr">
        <is>
          <t>Øzt</t>
        </is>
      </c>
      <c r="D40" s="31" t="inlineStr">
        <is>
          <t>1/2"</t>
        </is>
      </c>
      <c r="E40" s="24" t="inlineStr"/>
    </row>
    <row r="42" ht="17" customHeight="1">
      <c r="B42" s="21" t="inlineStr">
        <is>
          <t>2. PREDIMENSIONAMIENTO (referencial)</t>
        </is>
      </c>
    </row>
    <row r="43" ht="13.5" customHeight="1">
      <c r="B43" s="9" t="inlineStr">
        <is>
          <t>Ancho total de la base</t>
        </is>
      </c>
      <c r="C43" s="22" t="inlineStr">
        <is>
          <t>B</t>
        </is>
      </c>
      <c r="D43" s="34">
        <f>$D$32+$D$30+$D$33</f>
        <v/>
      </c>
      <c r="E43" s="24" t="inlineStr">
        <is>
          <t>m</t>
        </is>
      </c>
    </row>
    <row r="44" ht="24" customHeight="1">
      <c r="B44" s="9" t="inlineStr">
        <is>
          <t>Relación B/H</t>
        </is>
      </c>
      <c r="C44" s="22" t="inlineStr">
        <is>
          <t>B/H</t>
        </is>
      </c>
      <c r="D44" s="34">
        <f>$D$43/$D$28</f>
        <v/>
      </c>
      <c r="E44" s="24" t="inlineStr"/>
      <c r="F44" s="27" t="inlineStr">
        <is>
          <t>Usual 0.5 a 0.7 sin sismo; hasta ≈ 1.0 con sismo</t>
        </is>
      </c>
    </row>
    <row r="45" ht="13.5" customHeight="1">
      <c r="B45" s="9" t="inlineStr">
        <is>
          <t>Proporción de la base</t>
        </is>
      </c>
      <c r="C45" s="29">
        <f>IF(AND($D$44&gt;=0.4,$D$44&lt;=1.0),"CUMPLE","REVISAR")</f>
        <v/>
      </c>
      <c r="D45" s="30" t="n"/>
      <c r="E45" s="30" t="n"/>
      <c r="F45" s="27" t="inlineStr">
        <is>
          <t>Fuera de lo usual: revise</t>
        </is>
      </c>
    </row>
    <row r="46" ht="13.5" customHeight="1">
      <c r="B46" s="9" t="inlineStr">
        <is>
          <t>Altura de la pantalla</t>
        </is>
      </c>
      <c r="C46" s="22" t="inlineStr">
        <is>
          <t>Hp</t>
        </is>
      </c>
      <c r="D46" s="34">
        <f>$D$28-$D$31</f>
        <v/>
      </c>
      <c r="E46" s="24" t="inlineStr">
        <is>
          <t>m</t>
        </is>
      </c>
    </row>
    <row r="48" ht="17" customHeight="1">
      <c r="B48" s="21" t="inlineStr">
        <is>
          <t>3. EMPUJES (RANKINE)</t>
        </is>
      </c>
    </row>
    <row r="49" ht="13.5" customHeight="1">
      <c r="B49" s="9" t="inlineStr">
        <is>
          <t>Coeficiente de empuje activo</t>
        </is>
      </c>
      <c r="C49" s="22" t="inlineStr">
        <is>
          <t>Ka</t>
        </is>
      </c>
      <c r="D49" s="39">
        <f>TAN(RADIANS(45-$D$17/2))^2</f>
        <v/>
      </c>
      <c r="E49" s="24" t="inlineStr"/>
      <c r="F49" s="27" t="inlineStr">
        <is>
          <t>Ka = tan²(45° − ϕ/2)</t>
        </is>
      </c>
    </row>
    <row r="50" ht="13.5" customHeight="1">
      <c r="B50" s="9" t="inlineStr">
        <is>
          <t>Empuje del relleno ½·Ka·γs·H²</t>
        </is>
      </c>
      <c r="C50" s="22" t="inlineStr">
        <is>
          <t>Ea</t>
        </is>
      </c>
      <c r="D50" s="34">
        <f>0.5*$D$49*$D$16*$D$28^2</f>
        <v/>
      </c>
      <c r="E50" s="24" t="inlineStr">
        <is>
          <t>t/m</t>
        </is>
      </c>
      <c r="F50" s="27" t="inlineStr">
        <is>
          <t>Aplicado a H/3</t>
        </is>
      </c>
    </row>
    <row r="51" ht="13.5" customHeight="1">
      <c r="B51" s="9" t="inlineStr">
        <is>
          <t>Empuje de la sobrecarga Ka·s/c·H</t>
        </is>
      </c>
      <c r="C51" s="22" t="inlineStr">
        <is>
          <t>Es</t>
        </is>
      </c>
      <c r="D51" s="34">
        <f>$D$49*$D$18*$D$28</f>
        <v/>
      </c>
      <c r="E51" s="24" t="inlineStr">
        <is>
          <t>t/m</t>
        </is>
      </c>
      <c r="F51" s="27" t="inlineStr">
        <is>
          <t>Aplicado a H/2</t>
        </is>
      </c>
    </row>
    <row r="52" ht="13.5" customHeight="1">
      <c r="B52" s="9" t="inlineStr">
        <is>
          <t>Empuje horizontal total</t>
        </is>
      </c>
      <c r="C52" s="22" t="inlineStr">
        <is>
          <t>Ha</t>
        </is>
      </c>
      <c r="D52" s="34">
        <f>$D$50+$D$51</f>
        <v/>
      </c>
      <c r="E52" s="24" t="inlineStr">
        <is>
          <t>t/m</t>
        </is>
      </c>
    </row>
    <row r="53" ht="13.5" customHeight="1">
      <c r="B53" s="9" t="inlineStr">
        <is>
          <t>Momento de volteo respecto a la punta</t>
        </is>
      </c>
      <c r="C53" s="22" t="inlineStr">
        <is>
          <t>Mv</t>
        </is>
      </c>
      <c r="D53" s="34">
        <f>$D$50*$D$28/3+$D$51*$D$28/2</f>
        <v/>
      </c>
      <c r="E53" s="24" t="inlineStr">
        <is>
          <t>t·m/m</t>
        </is>
      </c>
    </row>
    <row r="55" ht="17" customHeight="1">
      <c r="B55" s="21" t="inlineStr">
        <is>
          <t>4. FUERZAS ESTABILIZADORAS (por metro de muro, brazos desde la punta)</t>
        </is>
      </c>
    </row>
    <row r="56">
      <c r="B56" s="37" t="inlineStr">
        <is>
          <t>Elemento</t>
        </is>
      </c>
      <c r="C56" s="37" t="inlineStr">
        <is>
          <t>W (t/m)</t>
        </is>
      </c>
      <c r="D56" s="37" t="inlineStr">
        <is>
          <t>x (m)</t>
        </is>
      </c>
      <c r="E56" s="37" t="inlineStr">
        <is>
          <t>W·x (t·m/m)</t>
        </is>
      </c>
      <c r="F56" s="37" t="inlineStr">
        <is>
          <t>Expresión</t>
        </is>
      </c>
    </row>
    <row r="57">
      <c r="B57" s="38" t="inlineStr">
        <is>
          <t>W1 · Pantalla (rectángulo)</t>
        </is>
      </c>
      <c r="C57" s="39">
        <f>$D$29*$D$46*$D$14</f>
        <v/>
      </c>
      <c r="D57" s="39">
        <f>$D$32+$D$29/2</f>
        <v/>
      </c>
      <c r="E57" s="39">
        <f>C57*D57</f>
        <v/>
      </c>
      <c r="F57" s="56" t="inlineStr">
        <is>
          <t>t1·Hp·γc</t>
        </is>
      </c>
    </row>
    <row r="58">
      <c r="B58" s="38" t="inlineStr">
        <is>
          <t>W2 · Pantalla (triángulo)</t>
        </is>
      </c>
      <c r="C58" s="39">
        <f>($D$30-$D$29)*$D$46/2*$D$14</f>
        <v/>
      </c>
      <c r="D58" s="39">
        <f>$D$32+$D$29+($D$30-$D$29)/3</f>
        <v/>
      </c>
      <c r="E58" s="39">
        <f>C58*D58</f>
        <v/>
      </c>
      <c r="F58" s="56" t="inlineStr">
        <is>
          <t>(t2−t1)·Hp/2·γc</t>
        </is>
      </c>
    </row>
    <row r="59">
      <c r="B59" s="38" t="inlineStr">
        <is>
          <t>W3 · Zapata</t>
        </is>
      </c>
      <c r="C59" s="39">
        <f>$D$43*$D$31*$D$14</f>
        <v/>
      </c>
      <c r="D59" s="39">
        <f>$D$43/2</f>
        <v/>
      </c>
      <c r="E59" s="39">
        <f>C59*D59</f>
        <v/>
      </c>
      <c r="F59" s="56" t="inlineStr">
        <is>
          <t>B·hz·γc</t>
        </is>
      </c>
    </row>
    <row r="60">
      <c r="B60" s="38" t="inlineStr">
        <is>
          <t>W4 · Relleno sobre el talón</t>
        </is>
      </c>
      <c r="C60" s="39">
        <f>$D$33*$D$46*$D$16</f>
        <v/>
      </c>
      <c r="D60" s="39">
        <f>$D$32+$D$30+$D$33/2</f>
        <v/>
      </c>
      <c r="E60" s="39">
        <f>C60*D60</f>
        <v/>
      </c>
      <c r="F60" s="56" t="inlineStr">
        <is>
          <t>B2·Hp·γs</t>
        </is>
      </c>
    </row>
    <row r="61">
      <c r="B61" s="38" t="inlineStr">
        <is>
          <t>W5 · Relleno sobre la cara inclinada</t>
        </is>
      </c>
      <c r="C61" s="39">
        <f>($D$30-$D$29)*$D$46/2*$D$16</f>
        <v/>
      </c>
      <c r="D61" s="39">
        <f>$D$32+$D$29+2*($D$30-$D$29)/3</f>
        <v/>
      </c>
      <c r="E61" s="39">
        <f>C61*D61</f>
        <v/>
      </c>
      <c r="F61" s="56" t="inlineStr">
        <is>
          <t>(t2−t1)·Hp/2·γs</t>
        </is>
      </c>
    </row>
    <row r="62">
      <c r="B62" s="38" t="inlineStr">
        <is>
          <t>W6 · Relleno sobre la puntera</t>
        </is>
      </c>
      <c r="C62" s="39">
        <f>$D$32*MAX(0,$D$34-$D$31)*$D$16</f>
        <v/>
      </c>
      <c r="D62" s="39">
        <f>$D$32/2</f>
        <v/>
      </c>
      <c r="E62" s="39">
        <f>C62*D62</f>
        <v/>
      </c>
      <c r="F62" s="56" t="inlineStr">
        <is>
          <t>B1·(Df−hz)·γs</t>
        </is>
      </c>
    </row>
    <row r="63">
      <c r="B63" s="38" t="inlineStr">
        <is>
          <t>W7 · Diente</t>
        </is>
      </c>
      <c r="C63" s="39">
        <f>$D$30*$D$35*$D$14</f>
        <v/>
      </c>
      <c r="D63" s="39">
        <f>$D$32+$D$30/2</f>
        <v/>
      </c>
      <c r="E63" s="39">
        <f>C63*D63</f>
        <v/>
      </c>
      <c r="F63" s="56" t="inlineStr">
        <is>
          <t>t2·hd·γc</t>
        </is>
      </c>
    </row>
    <row r="64" ht="24" customHeight="1">
      <c r="B64" s="9" t="inlineStr">
        <is>
          <t>Peso total estabilizador (sin s/c)</t>
        </is>
      </c>
      <c r="C64" s="22" t="inlineStr">
        <is>
          <t>ΣW</t>
        </is>
      </c>
      <c r="D64" s="34">
        <f>SUM($C$57:$C$63)</f>
        <v/>
      </c>
      <c r="E64" s="24" t="inlineStr">
        <is>
          <t>t/m</t>
        </is>
      </c>
      <c r="F64" s="27" t="inlineStr">
        <is>
          <t>La s/c no se cuenta como estabilizadora (conservador)</t>
        </is>
      </c>
    </row>
    <row r="65" ht="13.5" customHeight="1">
      <c r="B65" s="9" t="inlineStr">
        <is>
          <t>Momento resistente</t>
        </is>
      </c>
      <c r="C65" s="22" t="inlineStr">
        <is>
          <t>Mr</t>
        </is>
      </c>
      <c r="D65" s="34">
        <f>SUM($E$57:$E$63)</f>
        <v/>
      </c>
      <c r="E65" s="24" t="inlineStr">
        <is>
          <t>t·m/m</t>
        </is>
      </c>
    </row>
    <row r="66" ht="13.5" customHeight="1">
      <c r="B66" s="9" t="inlineStr">
        <is>
          <t>Sobrecarga sobre el talón (solo para presiones)</t>
        </is>
      </c>
      <c r="C66" s="22" t="inlineStr">
        <is>
          <t>Wsc</t>
        </is>
      </c>
      <c r="D66" s="34">
        <f>$D$18*($D$33+$D$30-$D$29)</f>
        <v/>
      </c>
      <c r="E66" s="24" t="inlineStr">
        <is>
          <t>t/m</t>
        </is>
      </c>
    </row>
    <row r="67" ht="13.5" customHeight="1">
      <c r="B67" s="9" t="inlineStr">
        <is>
          <t>Brazo de la sobrecarga</t>
        </is>
      </c>
      <c r="C67" s="22" t="inlineStr">
        <is>
          <t>xsc</t>
        </is>
      </c>
      <c r="D67" s="34">
        <f>$D$32+$D$29+($D$33+$D$30-$D$29)/2</f>
        <v/>
      </c>
      <c r="E67" s="24" t="inlineStr">
        <is>
          <t>m</t>
        </is>
      </c>
    </row>
    <row r="69" ht="17" customHeight="1">
      <c r="B69" s="21" t="inlineStr">
        <is>
          <t>5. ESTABILIDAD</t>
        </is>
      </c>
    </row>
    <row r="70" ht="13.5" customHeight="1">
      <c r="B70" s="9" t="inlineStr">
        <is>
          <t>Factor de seguridad al volteo Mr/Mv</t>
        </is>
      </c>
      <c r="C70" s="22" t="inlineStr">
        <is>
          <t>FSV</t>
        </is>
      </c>
      <c r="D70" s="34">
        <f>$D$65/$D$53</f>
        <v/>
      </c>
      <c r="E70" s="24" t="inlineStr"/>
    </row>
    <row r="71" ht="13.5" customHeight="1">
      <c r="B71" s="9" t="inlineStr">
        <is>
          <t>FSV ≥ FSV mínimo</t>
        </is>
      </c>
      <c r="C71" s="29">
        <f>IF($D$70&gt;=$D$21,"CUMPLE","NO CUMPLE")</f>
        <v/>
      </c>
      <c r="D71" s="30" t="n"/>
      <c r="E71" s="30" t="n"/>
      <c r="F71" s="27" t="inlineStr">
        <is>
          <t>Si no cumple: alargue el talón B2</t>
        </is>
      </c>
    </row>
    <row r="72" ht="13.5" customHeight="1">
      <c r="B72" s="9" t="inlineStr">
        <is>
          <t>Coeficiente pasivo Kp = tan²(45° + ϕ/2)</t>
        </is>
      </c>
      <c r="C72" s="22" t="inlineStr">
        <is>
          <t>Kp</t>
        </is>
      </c>
      <c r="D72" s="39">
        <f>TAN(RADIANS(45+$D$17/2))^2</f>
        <v/>
      </c>
      <c r="E72" s="24" t="inlineStr"/>
    </row>
    <row r="73" ht="24" customHeight="1">
      <c r="B73" s="9" t="inlineStr">
        <is>
          <t>Empuje pasivo útil 50 %·½·Kp·γs·(Df + hd)² (solo con diente)</t>
        </is>
      </c>
      <c r="C73" s="22" t="inlineStr">
        <is>
          <t>Ep</t>
        </is>
      </c>
      <c r="D73" s="34">
        <f>IF($D$35&gt;0,0.5*0.5*$D$72*$D$16*($D$34+$D$35)^2,0)</f>
        <v/>
      </c>
      <c r="E73" s="24" t="inlineStr">
        <is>
          <t>t/m</t>
        </is>
      </c>
      <c r="F73" s="27" t="inlineStr">
        <is>
          <t>Se toma la mitad del pasivo (desplazamiento limitado)</t>
        </is>
      </c>
    </row>
    <row r="74" ht="24" customHeight="1">
      <c r="B74" s="9" t="inlineStr">
        <is>
          <t>Factor de seguridad al deslizamiento (μ·ΣW + Ep)/Ha</t>
        </is>
      </c>
      <c r="C74" s="22" t="inlineStr">
        <is>
          <t>FSD</t>
        </is>
      </c>
      <c r="D74" s="34">
        <f>($D$20*$D$64+$D$73)/$D$52</f>
        <v/>
      </c>
      <c r="E74" s="24" t="inlineStr"/>
    </row>
    <row r="75" ht="24" customHeight="1">
      <c r="B75" s="9" t="inlineStr">
        <is>
          <t>FSD ≥ FSD mínimo</t>
        </is>
      </c>
      <c r="C75" s="29">
        <f>IF($D$74&gt;=$D$22,"CUMPLE","NO CUMPLE")</f>
        <v/>
      </c>
      <c r="D75" s="30" t="n"/>
      <c r="E75" s="30" t="n"/>
      <c r="F75" s="27" t="inlineStr">
        <is>
          <t>Si no cumple: alargue la base o use diente (llave de corte)</t>
        </is>
      </c>
    </row>
    <row r="77" ht="17" customHeight="1">
      <c r="B77" s="21" t="inlineStr">
        <is>
          <t>6. PRESIONES SOBRE EL SUELO (servicio, con s/c)</t>
        </is>
      </c>
    </row>
    <row r="78" ht="13.5" customHeight="1">
      <c r="B78" s="9" t="inlineStr">
        <is>
          <t>Fuerza vertical total</t>
        </is>
      </c>
      <c r="C78" s="22" t="inlineStr">
        <is>
          <t>N</t>
        </is>
      </c>
      <c r="D78" s="34">
        <f>$D$64+$D$66</f>
        <v/>
      </c>
      <c r="E78" s="24" t="inlineStr">
        <is>
          <t>t/m</t>
        </is>
      </c>
    </row>
    <row r="79" ht="13.5" customHeight="1">
      <c r="B79" s="9" t="inlineStr">
        <is>
          <t>Posición de la resultante desde la punta</t>
        </is>
      </c>
      <c r="C79" s="22" t="inlineStr">
        <is>
          <t>xr</t>
        </is>
      </c>
      <c r="D79" s="39">
        <f>($D$65+$D$66*$D$67-$D$53)/$D$78</f>
        <v/>
      </c>
      <c r="E79" s="24" t="inlineStr">
        <is>
          <t>m</t>
        </is>
      </c>
      <c r="F79" s="27" t="inlineStr">
        <is>
          <t>xr = (Mr + Wsc·xsc − Mv)/N</t>
        </is>
      </c>
    </row>
    <row r="80" ht="13.5" customHeight="1">
      <c r="B80" s="9" t="inlineStr">
        <is>
          <t>Excentricidad e = B/2 − xr</t>
        </is>
      </c>
      <c r="C80" s="22" t="inlineStr">
        <is>
          <t>e</t>
        </is>
      </c>
      <c r="D80" s="39">
        <f>$D$43/2-$D$79</f>
        <v/>
      </c>
      <c r="E80" s="24" t="inlineStr">
        <is>
          <t>m</t>
        </is>
      </c>
      <c r="F80" s="27" t="inlineStr">
        <is>
          <t>e &gt; 0: la resultante cae hacia la puntera</t>
        </is>
      </c>
    </row>
    <row r="81" ht="13.5" customHeight="1">
      <c r="B81" s="9" t="inlineStr">
        <is>
          <t>Resultante dentro de la base (0 &lt; xr &lt; B)</t>
        </is>
      </c>
      <c r="C81" s="29">
        <f>IF(AND($D$79&gt;0,$D$79&lt;$D$43),"CUMPLE","NO CUMPLE")</f>
        <v/>
      </c>
      <c r="D81" s="30" t="n"/>
      <c r="E81" s="30" t="n"/>
      <c r="F81" s="27" t="inlineStr">
        <is>
          <t>Si no cumple: el muro se voltea; redimensione</t>
        </is>
      </c>
    </row>
    <row r="82" ht="13.5" customHeight="1">
      <c r="B82" s="9" t="inlineStr">
        <is>
          <t>|e| ≤ B/6 (resultante en el tercio central)</t>
        </is>
      </c>
      <c r="C82" s="29">
        <f>IF(ABS($D$80)&lt;=$D$43/6,"CUMPLE","NO CUMPLE")</f>
        <v/>
      </c>
      <c r="D82" s="30" t="n"/>
      <c r="E82" s="30" t="n"/>
      <c r="F82" s="27" t="inlineStr">
        <is>
          <t>Si no cumple: redimensione la base</t>
        </is>
      </c>
    </row>
    <row r="83" ht="13.5" customHeight="1">
      <c r="B83" s="9" t="inlineStr">
        <is>
          <t>Presión máxima</t>
        </is>
      </c>
      <c r="C83" s="22" t="inlineStr">
        <is>
          <t>qmáx</t>
        </is>
      </c>
      <c r="D83" s="34">
        <f>IF(ABS($D$80)&lt;=$D$43/6,$D$78/$D$43*(1+6*ABS($D$80)/$D$43),2*$D$78/(3*MAX(0.001,MIN($D$79,$D$43-$D$79))))</f>
        <v/>
      </c>
      <c r="E83" s="24" t="inlineStr">
        <is>
          <t>t/m²</t>
        </is>
      </c>
      <c r="F83" s="27" t="inlineStr">
        <is>
          <t>Trapecio; si |e| &gt; B/6, triángulo 2N/(3a)</t>
        </is>
      </c>
    </row>
    <row r="84" ht="13.5" customHeight="1">
      <c r="B84" s="9" t="inlineStr">
        <is>
          <t>Presión mínima</t>
        </is>
      </c>
      <c r="C84" s="22" t="inlineStr">
        <is>
          <t>qmín</t>
        </is>
      </c>
      <c r="D84" s="34">
        <f>IF(ABS($D$80)&lt;=$D$43/6,$D$78/$D$43*(1-6*ABS($D$80)/$D$43),0)</f>
        <v/>
      </c>
      <c r="E84" s="24" t="inlineStr">
        <is>
          <t>t/m²</t>
        </is>
      </c>
    </row>
    <row r="85" ht="13.5" customHeight="1">
      <c r="B85" s="9" t="inlineStr">
        <is>
          <t>qmáx ≤ qadm</t>
        </is>
      </c>
      <c r="C85" s="29">
        <f>IF($D$83&lt;=$D$19*10,"CUMPLE","NO CUMPLE")</f>
        <v/>
      </c>
      <c r="D85" s="30" t="n"/>
      <c r="E85" s="30" t="n"/>
      <c r="F85" s="27" t="inlineStr">
        <is>
          <t>Si no cumple: ensanche la base</t>
        </is>
      </c>
    </row>
    <row r="87" ht="17" customHeight="1">
      <c r="B87" s="21" t="inlineStr">
        <is>
          <t>6B. VERIFICACIÓN SÍSMICA (MONONOBE–OKABE)</t>
        </is>
      </c>
    </row>
    <row r="88" ht="13.5" customHeight="1">
      <c r="B88" s="9" t="inlineStr">
        <is>
          <t>Ángulo sísmico ψ = atan(kh)</t>
        </is>
      </c>
      <c r="C88" s="22" t="inlineStr">
        <is>
          <t>ψ</t>
        </is>
      </c>
      <c r="D88" s="34">
        <f>DEGREES(ATAN($D$24))</f>
        <v/>
      </c>
      <c r="E88" s="24" t="inlineStr">
        <is>
          <t>°</t>
        </is>
      </c>
    </row>
    <row r="89" ht="13.5" customHeight="1">
      <c r="B89" s="9" t="inlineStr">
        <is>
          <t>ϕ &gt; ψ (la cuña es estable)</t>
        </is>
      </c>
      <c r="C89" s="29">
        <f>IF($D$17&gt;$D$88,"CUMPLE","NO CUMPLE")</f>
        <v/>
      </c>
      <c r="D89" s="30" t="n"/>
      <c r="E89" s="30" t="n"/>
      <c r="F89" s="27" t="inlineStr">
        <is>
          <t>Si no cumple: kh demasiado alto para ese ϕ</t>
        </is>
      </c>
    </row>
    <row r="90" ht="24" customHeight="1">
      <c r="B90" s="9" t="inlineStr">
        <is>
          <t>Coeficiente KAE (muro vertical, relleno horizontal, δ = 0)</t>
        </is>
      </c>
      <c r="C90" s="22" t="inlineStr">
        <is>
          <t>KAE</t>
        </is>
      </c>
      <c r="D90" s="39">
        <f>IF($D$17&gt;$D$88,COS(RADIANS($D$17-$D$88))^2/(COS(RADIANS($D$88))^2*(1+SQRT(SIN(RADIANS($D$17))*SIN(RADIANS($D$17-$D$88))/COS(RADIANS($D$88))))^2),$D$49)</f>
        <v/>
      </c>
      <c r="E90" s="24" t="inlineStr"/>
      <c r="F90" s="27" t="inlineStr">
        <is>
          <t>KAE = cos²(ϕ−ψ)/[cos²ψ·(1 + √(sinϕ·sin(ϕ−ψ)/cosψ))²]</t>
        </is>
      </c>
    </row>
    <row r="91" ht="13.5" customHeight="1">
      <c r="B91" s="9" t="inlineStr">
        <is>
          <t>Incremento dinámico ΔEAE = ½·γs·H²·(KAE − Ka)</t>
        </is>
      </c>
      <c r="C91" s="22" t="inlineStr">
        <is>
          <t>ΔEAE</t>
        </is>
      </c>
      <c r="D91" s="34">
        <f>0.5*$D$16*$D$28^2*MAX(0,$D$90-$D$49)</f>
        <v/>
      </c>
      <c r="E91" s="24" t="inlineStr">
        <is>
          <t>t/m</t>
        </is>
      </c>
      <c r="F91" s="27" t="inlineStr">
        <is>
          <t>Aplicado a 0.6H</t>
        </is>
      </c>
    </row>
    <row r="92" ht="13.5" customHeight="1">
      <c r="B92" s="9" t="inlineStr">
        <is>
          <t>Incremento sobre la sobrecarga (KAE − Ka)·s/c·H</t>
        </is>
      </c>
      <c r="C92" s="22" t="inlineStr">
        <is>
          <t>ΔEs</t>
        </is>
      </c>
      <c r="D92" s="34">
        <f>MAX(0,$D$90-$D$49)*$D$18*$D$28</f>
        <v/>
      </c>
      <c r="E92" s="24" t="inlineStr">
        <is>
          <t>t/m</t>
        </is>
      </c>
      <c r="F92" s="27" t="inlineStr">
        <is>
          <t>Aplicado a H/2</t>
        </is>
      </c>
    </row>
    <row r="93" ht="24" customHeight="1">
      <c r="B93" s="9" t="inlineStr">
        <is>
          <t>Inercia del muro y del relleno sobre el talón kh·(W1 + W2 + W3 + W4 + W5)</t>
        </is>
      </c>
      <c r="C93" s="22" t="inlineStr">
        <is>
          <t>Fi</t>
        </is>
      </c>
      <c r="D93" s="34">
        <f>$D$24*($C$57+$C$58+$C$59+$C$60+$C$61)</f>
        <v/>
      </c>
      <c r="E93" s="24" t="inlineStr">
        <is>
          <t>t/m</t>
        </is>
      </c>
      <c r="F93" s="27" t="inlineStr">
        <is>
          <t>AASHTO 11.6.5.1</t>
        </is>
      </c>
    </row>
    <row r="94" ht="13.5" customHeight="1">
      <c r="B94" s="9" t="inlineStr">
        <is>
          <t>Momento de la inercia</t>
        </is>
      </c>
      <c r="C94" s="22" t="inlineStr"/>
      <c r="D94" s="34">
        <f>$D$24*($C$57*($D$31+$D$46/2)+$C$58*($D$31+$D$46/3)+$C$59*$D$31/2+$C$60*($D$31+$D$46/2)+$C$61*($D$31+2*$D$46/3))</f>
        <v/>
      </c>
      <c r="E94" s="24" t="inlineStr">
        <is>
          <t>t·m/m</t>
        </is>
      </c>
    </row>
    <row r="95" ht="13.5" customHeight="1">
      <c r="B95" s="9" t="inlineStr">
        <is>
          <t>Momento de volteo con sismo</t>
        </is>
      </c>
      <c r="C95" s="22" t="inlineStr">
        <is>
          <t>Mvs</t>
        </is>
      </c>
      <c r="D95" s="34">
        <f>$D$53+$D$91*0.6*$D$28+$D$92*$D$28/2+$D$94</f>
        <v/>
      </c>
      <c r="E95" s="24" t="inlineStr">
        <is>
          <t>t·m/m</t>
        </is>
      </c>
    </row>
    <row r="96" ht="13.5" customHeight="1">
      <c r="B96" s="9" t="inlineStr">
        <is>
          <t>Fuerza horizontal con sismo</t>
        </is>
      </c>
      <c r="C96" s="22" t="inlineStr">
        <is>
          <t>Has</t>
        </is>
      </c>
      <c r="D96" s="34">
        <f>$D$52+$D$91+$D$92+$D$93</f>
        <v/>
      </c>
      <c r="E96" s="24" t="inlineStr">
        <is>
          <t>t/m</t>
        </is>
      </c>
    </row>
    <row r="97" ht="13.5" customHeight="1">
      <c r="B97" s="9" t="inlineStr">
        <is>
          <t>FS al volteo con sismo</t>
        </is>
      </c>
      <c r="C97" s="22" t="inlineStr">
        <is>
          <t>FSVs</t>
        </is>
      </c>
      <c r="D97" s="34">
        <f>$D$65/$D$95</f>
        <v/>
      </c>
      <c r="E97" s="24" t="inlineStr"/>
    </row>
    <row r="98" ht="13.5" customHeight="1">
      <c r="B98" s="9" t="inlineStr">
        <is>
          <t>FSVs ≥ mínimo</t>
        </is>
      </c>
      <c r="C98" s="29">
        <f>IF($D$97&gt;=$D$25,"CUMPLE","NO CUMPLE")</f>
        <v/>
      </c>
      <c r="D98" s="30" t="n"/>
      <c r="E98" s="30" t="n"/>
      <c r="F98" s="27" t="inlineStr">
        <is>
          <t>Si no cumple: alargue el talón</t>
        </is>
      </c>
    </row>
    <row r="99" ht="13.5" customHeight="1">
      <c r="B99" s="9" t="inlineStr">
        <is>
          <t>FS al deslizamiento con sismo</t>
        </is>
      </c>
      <c r="C99" s="22" t="inlineStr">
        <is>
          <t>FSDs</t>
        </is>
      </c>
      <c r="D99" s="34">
        <f>($D$20*$D$64+$D$73)/$D$96</f>
        <v/>
      </c>
      <c r="E99" s="24" t="inlineStr"/>
    </row>
    <row r="100" ht="24" customHeight="1">
      <c r="B100" s="9" t="inlineStr">
        <is>
          <t>FSDs ≥ mínimo</t>
        </is>
      </c>
      <c r="C100" s="29">
        <f>IF($D$99&gt;=$D$26,"CUMPLE","NO CUMPLE")</f>
        <v/>
      </c>
      <c r="D100" s="30" t="n"/>
      <c r="E100" s="30" t="n"/>
      <c r="F100" s="27" t="inlineStr">
        <is>
          <t>Si no cumple: alargue la base o profundice el diente</t>
        </is>
      </c>
    </row>
    <row r="101" ht="13.5" customHeight="1">
      <c r="B101" s="9" t="inlineStr">
        <is>
          <t>Resultante con sismo desde la punta</t>
        </is>
      </c>
      <c r="C101" s="22" t="inlineStr">
        <is>
          <t>xr</t>
        </is>
      </c>
      <c r="D101" s="39">
        <f>($D$65+$D$66*$D$67-$D$95)/$D$78</f>
        <v/>
      </c>
      <c r="E101" s="24" t="inlineStr">
        <is>
          <t>m</t>
        </is>
      </c>
    </row>
    <row r="102" ht="13.5" customHeight="1">
      <c r="B102" s="9" t="inlineStr">
        <is>
          <t>Resultante dentro de la base</t>
        </is>
      </c>
      <c r="C102" s="29">
        <f>IF(AND($D$101&gt;0,$D$101&lt;$D$43),"CUMPLE","NO CUMPLE")</f>
        <v/>
      </c>
      <c r="D102" s="30" t="n"/>
      <c r="E102" s="30" t="n"/>
    </row>
    <row r="103" ht="13.5" customHeight="1">
      <c r="B103" s="9" t="inlineStr">
        <is>
          <t>Presión máxima con sismo</t>
        </is>
      </c>
      <c r="C103" s="22" t="inlineStr">
        <is>
          <t>qmáx</t>
        </is>
      </c>
      <c r="D103" s="34">
        <f>IF(ABS($D$43/2-$D$101)&lt;=$D$43/6,$D$78/$D$43*(1+6*ABS($D$43/2-$D$101)/$D$43),2*$D$78/(3*MAX(0.001,MIN($D$101,$D$43-$D$101))))</f>
        <v/>
      </c>
      <c r="E103" s="24" t="inlineStr">
        <is>
          <t>t/m²</t>
        </is>
      </c>
    </row>
    <row r="104" ht="13.5" customHeight="1">
      <c r="B104" s="9" t="inlineStr">
        <is>
          <t>qmáx ≤ 1.30·qadm</t>
        </is>
      </c>
      <c r="C104" s="29">
        <f>IF($D$103&lt;=1.3*$D$19*10,"CUMPLE","NO CUMPLE")</f>
        <v/>
      </c>
      <c r="D104" s="30" t="n"/>
      <c r="E104" s="30" t="n"/>
      <c r="F104" s="27" t="inlineStr">
        <is>
          <t>Si no cumple: ensanche la base</t>
        </is>
      </c>
    </row>
    <row r="106" ht="17" customHeight="1">
      <c r="B106" s="21" t="inlineStr">
        <is>
          <t>7. DISEÑO DE LA PANTALLA (E.060 · empuje lateral factor 1.7)</t>
        </is>
      </c>
    </row>
    <row r="107" ht="13.5" customHeight="1">
      <c r="B107" s="9" t="inlineStr">
        <is>
          <t>Factor β1</t>
        </is>
      </c>
      <c r="C107" s="22" t="inlineStr">
        <is>
          <t>β1</t>
        </is>
      </c>
      <c r="D107" s="39">
        <f>IF($D$12&lt;=280,0.85,MAX(0.65,0.85-0.05*($D$12-280)/70))</f>
        <v/>
      </c>
      <c r="E107" s="24" t="inlineStr"/>
      <c r="F107" s="27" t="inlineStr">
        <is>
          <t>E.060 10.2.7.3</t>
        </is>
      </c>
    </row>
    <row r="108" ht="13.5" customHeight="1">
      <c r="B108" s="9" t="inlineStr">
        <is>
          <t>Cuantía balanceada</t>
        </is>
      </c>
      <c r="C108" s="22" t="inlineStr">
        <is>
          <t>ρb</t>
        </is>
      </c>
      <c r="D108" s="40">
        <f>0.85*$D$107*$D$12/$D$13*6000/(6000+$D$13)</f>
        <v/>
      </c>
      <c r="E108" s="24" t="inlineStr"/>
      <c r="F108" s="27" t="inlineStr">
        <is>
          <t>Límite: ρ ≤ 0.75·ρb (E.060 10.3.4)</t>
        </is>
      </c>
    </row>
    <row r="109" ht="13.5" customHeight="1">
      <c r="B109" s="9" t="inlineStr">
        <is>
          <t>Diámetro de la varilla vertical</t>
        </is>
      </c>
      <c r="C109" s="22" t="inlineStr">
        <is>
          <t>db</t>
        </is>
      </c>
      <c r="D109" s="39">
        <f>INDEX(BAR_DB,MATCH($D$38,BAR_NOM,0))</f>
        <v/>
      </c>
      <c r="E109" s="24" t="inlineStr">
        <is>
          <t>cm</t>
        </is>
      </c>
    </row>
    <row r="110" ht="13.5" customHeight="1">
      <c r="B110" s="9" t="inlineStr">
        <is>
          <t>Área de la varilla</t>
        </is>
      </c>
      <c r="C110" s="22" t="inlineStr">
        <is>
          <t>Ab</t>
        </is>
      </c>
      <c r="D110" s="34">
        <f>INDEX(BAR_AS,MATCH($D$38,BAR_NOM,0))</f>
        <v/>
      </c>
      <c r="E110" s="24" t="inlineStr">
        <is>
          <t>cm²</t>
        </is>
      </c>
    </row>
    <row r="111" ht="13.5" customHeight="1">
      <c r="B111" s="9" t="inlineStr">
        <is>
          <t>Peralte efectivo en la base de la pantalla</t>
        </is>
      </c>
      <c r="C111" s="22" t="inlineStr">
        <is>
          <t>d</t>
        </is>
      </c>
      <c r="D111" s="34">
        <f>$D$30*100-$D$36-$D$109/2</f>
        <v/>
      </c>
      <c r="E111" s="24" t="inlineStr">
        <is>
          <t>cm</t>
        </is>
      </c>
    </row>
    <row r="112" ht="13.5" customHeight="1">
      <c r="B112" s="9" t="inlineStr">
        <is>
          <t>Mu estático 1.7·(Ka·γs·Hp³/6 + Ka·s/c·Hp²/2)</t>
        </is>
      </c>
      <c r="C112" s="22" t="inlineStr">
        <is>
          <t>Mu1</t>
        </is>
      </c>
      <c r="D112" s="34">
        <f>1.7*($D$49*$D$16*$D$46^3/6+$D$49*$D$18*$D$46^2/2)</f>
        <v/>
      </c>
      <c r="E112" s="24" t="inlineStr">
        <is>
          <t>t·m/m</t>
        </is>
      </c>
    </row>
    <row r="113" ht="24" customHeight="1">
      <c r="B113" s="9" t="inlineStr">
        <is>
          <t>Mu con sismo 1.25·estático + ΔEAE·0.6Hp + inercia</t>
        </is>
      </c>
      <c r="C113" s="22" t="inlineStr">
        <is>
          <t>Mu2</t>
        </is>
      </c>
      <c r="D113" s="34">
        <f>1.25*($D$49*$D$16*$D$46^3/6+$D$49*$D$18*$D$46^2/2)+0.5*$D$16*$D$46^2*MAX(0,$D$90-$D$49)*0.6*$D$46+MAX(0,$D$90-$D$49)*$D$18*$D$46^2/2+$D$24*($C$57*$D$46/2+$C$58*$D$46/3)</f>
        <v/>
      </c>
      <c r="E113" s="24" t="inlineStr">
        <is>
          <t>t·m/m</t>
        </is>
      </c>
      <c r="F113" s="27" t="inlineStr">
        <is>
          <t>Empuje estático como carga (1.25) y el incremento dinámico como sismo (1.0)</t>
        </is>
      </c>
    </row>
    <row r="114" ht="24" customHeight="1">
      <c r="B114" s="9" t="inlineStr">
        <is>
          <t>Momento último de diseño en la base de la pantalla</t>
        </is>
      </c>
      <c r="C114" s="22" t="inlineStr">
        <is>
          <t>Mu</t>
        </is>
      </c>
      <c r="D114" s="34">
        <f>MAX($D$112,$D$113)</f>
        <v/>
      </c>
      <c r="E114" s="24" t="inlineStr">
        <is>
          <t>t·m/m</t>
        </is>
      </c>
    </row>
    <row r="115" ht="13.5" customHeight="1">
      <c r="B115" s="9" t="inlineStr">
        <is>
          <t>Control de la sección (debe ser ≥ 0)</t>
        </is>
      </c>
      <c r="C115" s="22" t="inlineStr"/>
      <c r="D115" s="39">
        <f>1-2*$D$114*100000/(0.9*0.85*$D$12*100*$D$111^2)</f>
        <v/>
      </c>
      <c r="E115" s="24" t="inlineStr"/>
    </row>
    <row r="116" ht="13.5" customHeight="1">
      <c r="B116" s="9" t="inlineStr">
        <is>
          <t>Sección suficiente a flexión</t>
        </is>
      </c>
      <c r="C116" s="29">
        <f>IF($D$115&gt;=0,"CUMPLE","NO CUMPLE")</f>
        <v/>
      </c>
      <c r="D116" s="30" t="n"/>
      <c r="E116" s="30" t="n"/>
      <c r="F116" s="27" t="inlineStr">
        <is>
          <t>Si no cumple: aumente t2</t>
        </is>
      </c>
    </row>
    <row r="117" ht="13.5" customHeight="1">
      <c r="B117" s="9" t="inlineStr">
        <is>
          <t>Acero requerido (cara del relleno)</t>
        </is>
      </c>
      <c r="C117" s="22" t="inlineStr">
        <is>
          <t>As</t>
        </is>
      </c>
      <c r="D117" s="34">
        <f>0.85*$D$12*100*$D$111/$D$13*(1-SQRT(MAX(0,1-2*$D$114*100000/(0.9*0.85*$D$12*100*$D$111^2))))</f>
        <v/>
      </c>
      <c r="E117" s="24" t="inlineStr">
        <is>
          <t>cm²/m</t>
        </is>
      </c>
    </row>
    <row r="118" ht="13.5" customHeight="1">
      <c r="B118" s="9" t="inlineStr">
        <is>
          <t>Cuantía mínima vertical (E.060 14.3.2)</t>
        </is>
      </c>
      <c r="C118" s="22" t="inlineStr">
        <is>
          <t>ρv</t>
        </is>
      </c>
      <c r="D118" s="49">
        <f>IF($D$109&lt;=1.6,0.0012,0.0015)</f>
        <v/>
      </c>
      <c r="E118" s="24" t="inlineStr"/>
      <c r="F118" s="27" t="inlineStr">
        <is>
          <t>0.0012 para Ø ≤ 5/8"; 0.0015 para mayores</t>
        </is>
      </c>
    </row>
    <row r="119" ht="24" customHeight="1">
      <c r="B119" s="9" t="inlineStr">
        <is>
          <t>Acero mínimo máx(ρv, 0.0018)·100·t2</t>
        </is>
      </c>
      <c r="C119" s="22" t="inlineStr">
        <is>
          <t>Asmín</t>
        </is>
      </c>
      <c r="D119" s="34">
        <f>MAX($D$118,0.0018)*100*$D$30*100</f>
        <v/>
      </c>
      <c r="E119" s="24" t="inlineStr">
        <is>
          <t>cm²/m</t>
        </is>
      </c>
      <c r="F119" s="27" t="inlineStr">
        <is>
          <t>La pantalla trabaja como losa en voladizo (E.060 10.5.4)</t>
        </is>
      </c>
    </row>
    <row r="120" ht="13.5" customHeight="1">
      <c r="B120" s="9" t="inlineStr">
        <is>
          <t>Acero de diseño</t>
        </is>
      </c>
      <c r="C120" s="22" t="inlineStr">
        <is>
          <t>As</t>
        </is>
      </c>
      <c r="D120" s="34">
        <f>MAX($D$117,$D$119)</f>
        <v/>
      </c>
      <c r="E120" s="24" t="inlineStr">
        <is>
          <t>cm²/m</t>
        </is>
      </c>
    </row>
    <row r="121" ht="13.5" customHeight="1">
      <c r="B121" s="9" t="inlineStr">
        <is>
          <t>As ≤ 0.75·ρb·b·d (falla dúctil)</t>
        </is>
      </c>
      <c r="C121" s="29">
        <f>IF($D$117&lt;=0.75*$D$108*100*$D$111,"CUMPLE","NO CUMPLE")</f>
        <v/>
      </c>
      <c r="D121" s="30" t="n"/>
      <c r="E121" s="30" t="n"/>
      <c r="F121" s="27" t="inlineStr">
        <is>
          <t>Si no cumple: aumente t2</t>
        </is>
      </c>
    </row>
    <row r="122" ht="13.5" customHeight="1">
      <c r="B122" s="9" t="inlineStr">
        <is>
          <t>Espaciamiento</t>
        </is>
      </c>
      <c r="C122" s="22" t="inlineStr">
        <is>
          <t>s</t>
        </is>
      </c>
      <c r="D122" s="26">
        <f>MIN(FLOOR($D$110/$D$120*100,2.5),3*$D$30*100,40)</f>
        <v/>
      </c>
      <c r="E122" s="24" t="inlineStr">
        <is>
          <t>cm</t>
        </is>
      </c>
      <c r="F122" s="27" t="inlineStr">
        <is>
          <t>s ≤ 3t y 40 cm (E.060 14.3.5)</t>
        </is>
      </c>
    </row>
    <row r="123" ht="24" customHeight="1">
      <c r="B123" s="9" t="inlineStr">
        <is>
          <t>Espaciamiento libre ≥ máx(db, 2.5 cm) y s ≥ 10 cm</t>
        </is>
      </c>
      <c r="C123" s="29">
        <f>IF(AND($D$122-$D$109&gt;=MAX($D$109,2.5),$D$122&gt;=10),"CUMPLE","NO CUMPLE")</f>
        <v/>
      </c>
      <c r="D123" s="30" t="n"/>
      <c r="E123" s="30" t="n"/>
      <c r="F123" s="27" t="inlineStr">
        <is>
          <t>Si no cumple: use varilla mayor</t>
        </is>
      </c>
    </row>
    <row r="124" ht="13.5" customHeight="1">
      <c r="B124" s="9" t="inlineStr">
        <is>
          <t>ACERO VERTICAL INTERIOR (cara del relleno)</t>
        </is>
      </c>
      <c r="C124" s="22" t="inlineStr"/>
      <c r="D124" s="44">
        <f>"Ø "&amp;$D$38&amp;" @ "&amp;FIXED($D$122/100,IF(MOD(ROUND($D$122*10,0),50)=0,2,3))&amp;" m"</f>
        <v/>
      </c>
      <c r="E124" s="30" t="n"/>
      <c r="F124" s="30" t="n"/>
    </row>
    <row r="125" ht="24" customHeight="1">
      <c r="B125" s="9" t="inlineStr">
        <is>
          <t>Acero vertical exterior (montaje): ρv·b·t2/2 con Ø 3/8"</t>
        </is>
      </c>
      <c r="C125" s="22" t="inlineStr">
        <is>
          <t>s</t>
        </is>
      </c>
      <c r="D125" s="26">
        <f>MIN(FLOOR(0.71/($D$118*100*$D$30*100/2)*100,2.5),3*$D$30*100,40)</f>
        <v/>
      </c>
      <c r="E125" s="24" t="inlineStr">
        <is>
          <t>cm</t>
        </is>
      </c>
      <c r="F125" s="27" t="inlineStr">
        <is>
          <t>Cara frontal</t>
        </is>
      </c>
    </row>
    <row r="126" ht="13.5" customHeight="1">
      <c r="B126" s="9" t="inlineStr">
        <is>
          <t>ACERO VERTICAL EXTERIOR</t>
        </is>
      </c>
      <c r="C126" s="22" t="inlineStr"/>
      <c r="D126" s="44">
        <f>"Ø 3/8"" @ "&amp;FIXED($D$125/100,IF(MOD(ROUND($D$125*10,0),50)=0,2,3))&amp;" m"</f>
        <v/>
      </c>
      <c r="E126" s="30" t="n"/>
      <c r="F126" s="30" t="n"/>
    </row>
    <row r="127" ht="13.5" customHeight="1">
      <c r="B127" s="9" t="inlineStr">
        <is>
          <t>Cuantía mínima horizontal (E.060 14.3.3)</t>
        </is>
      </c>
      <c r="C127" s="22" t="inlineStr">
        <is>
          <t>ρh</t>
        </is>
      </c>
      <c r="D127" s="49">
        <f>0.002</f>
        <v/>
      </c>
      <c r="E127" s="24" t="inlineStr"/>
      <c r="F127" s="27" t="inlineStr">
        <is>
          <t>Barras horizontales Ø 3/8" (≤ 5/8")</t>
        </is>
      </c>
    </row>
    <row r="128" ht="24" customHeight="1">
      <c r="B128" s="9" t="inlineStr">
        <is>
          <t>Acero horizontal total ρh·100·tprom</t>
        </is>
      </c>
      <c r="C128" s="22" t="inlineStr">
        <is>
          <t>Ash</t>
        </is>
      </c>
      <c r="D128" s="34">
        <f>$D$127*100*($D$29+$D$30)/2*100</f>
        <v/>
      </c>
      <c r="E128" s="24" t="inlineStr">
        <is>
          <t>cm²/m</t>
        </is>
      </c>
      <c r="F128" s="27" t="inlineStr">
        <is>
          <t>2/3 en la cara expuesta y 1/3 en la del relleno (E.060 14.3.4)</t>
        </is>
      </c>
    </row>
    <row r="129" ht="13.5" customHeight="1">
      <c r="B129" s="9" t="inlineStr">
        <is>
          <t>Horizontal cara exterior (2/3) con Ø 3/8"</t>
        </is>
      </c>
      <c r="C129" s="22" t="inlineStr">
        <is>
          <t>s</t>
        </is>
      </c>
      <c r="D129" s="26">
        <f>MIN(FLOOR(0.71/($D$128*2/3)*100,2.5),3*$D$30*100,40)</f>
        <v/>
      </c>
      <c r="E129" s="24" t="inlineStr">
        <is>
          <t>cm</t>
        </is>
      </c>
    </row>
    <row r="130" ht="13.5" customHeight="1">
      <c r="B130" s="9" t="inlineStr">
        <is>
          <t>Horizontal cara interior (1/3) con Ø 3/8"</t>
        </is>
      </c>
      <c r="C130" s="22" t="inlineStr">
        <is>
          <t>s</t>
        </is>
      </c>
      <c r="D130" s="26">
        <f>MIN(FLOOR(0.71/($D$128/3)*100,2.5),3*$D$30*100,40)</f>
        <v/>
      </c>
      <c r="E130" s="24" t="inlineStr">
        <is>
          <t>cm</t>
        </is>
      </c>
    </row>
    <row r="131" ht="13.5" customHeight="1">
      <c r="B131" s="9" t="inlineStr">
        <is>
          <t>ACERO HORIZONTAL</t>
        </is>
      </c>
      <c r="C131" s="22" t="inlineStr"/>
      <c r="D131" s="44">
        <f>"Ext. Ø 3/8"" @ "&amp;FIXED($D$129/100,IF(MOD(ROUND($D$129*10,0),50)=0,2,3))&amp;" m · Int. Ø 3/8"" @ "&amp;FIXED($D$130/100,IF(MOD(ROUND($D$130*10,0),50)=0,2,3))&amp;" m"</f>
        <v/>
      </c>
      <c r="E131" s="30" t="n"/>
      <c r="F131" s="30" t="n"/>
    </row>
    <row r="132" ht="24" customHeight="1">
      <c r="B132" s="9" t="inlineStr">
        <is>
          <t>Cortante último (estático a «d»; con sismo en la base)</t>
        </is>
      </c>
      <c r="C132" s="22" t="inlineStr">
        <is>
          <t>Vu</t>
        </is>
      </c>
      <c r="D132" s="34">
        <f>MAX(1.7*(0.5*$D$49*$D$16*($D$46-$D$111/100)^2+$D$49*$D$18*($D$46-$D$111/100)),1.25*(0.5*$D$49*$D$16*$D$46^2+$D$49*$D$18*$D$46)+0.5*$D$16*$D$46^2*MAX(0,$D$90-$D$49)+MAX(0,$D$90-$D$49)*$D$18*$D$46+$D$24*($C$57+$C$58))</f>
        <v/>
      </c>
      <c r="E132" s="24" t="inlineStr">
        <is>
          <t>t/m</t>
        </is>
      </c>
    </row>
    <row r="133" ht="13.5" customHeight="1">
      <c r="B133" s="9" t="inlineStr">
        <is>
          <t>φVc = 0.85·0.53·√f'c·b·d</t>
        </is>
      </c>
      <c r="C133" s="22" t="inlineStr">
        <is>
          <t>φVc</t>
        </is>
      </c>
      <c r="D133" s="34">
        <f>0.85*0.53*SQRT($D$12)*100*$D$111/1000</f>
        <v/>
      </c>
      <c r="E133" s="24" t="inlineStr">
        <is>
          <t>t/m</t>
        </is>
      </c>
    </row>
    <row r="134" ht="13.5" customHeight="1">
      <c r="B134" s="9" t="inlineStr">
        <is>
          <t>Vu ≤ φVc (pantalla)</t>
        </is>
      </c>
      <c r="C134" s="29">
        <f>IF($D$132&lt;=$D$133,"CUMPLE","NO CUMPLE")</f>
        <v/>
      </c>
      <c r="D134" s="30" t="n"/>
      <c r="E134" s="30" t="n"/>
      <c r="F134" s="27" t="inlineStr">
        <is>
          <t>Si no cumple: aumente t2</t>
        </is>
      </c>
    </row>
    <row r="135" ht="24" customHeight="1">
      <c r="B135" s="9" t="inlineStr">
        <is>
          <t>Anclaje con gancho de la pantalla en la zapata</t>
        </is>
      </c>
      <c r="C135" s="22" t="inlineStr">
        <is>
          <t>ldh</t>
        </is>
      </c>
      <c r="D135" s="26">
        <f>MAX(15,8*$D$109,0.075*$D$13*$D$109/SQRT($D$12))</f>
        <v/>
      </c>
      <c r="E135" s="24" t="inlineStr">
        <is>
          <t>cm</t>
        </is>
      </c>
      <c r="F135" s="27" t="inlineStr">
        <is>
          <t>ldh = 0.075·fy·db/√f'c ≥ 8db ≥ 15 cm (E.060 12.5)</t>
        </is>
      </c>
    </row>
    <row r="136" ht="13.5" customHeight="1">
      <c r="B136" s="9" t="inlineStr">
        <is>
          <t>ldh ≤ hz − rz</t>
        </is>
      </c>
      <c r="C136" s="29">
        <f>IF($D$135&lt;=$D$31*100-$D$37,"CUMPLE","NO CUMPLE")</f>
        <v/>
      </c>
      <c r="D136" s="30" t="n"/>
      <c r="E136" s="30" t="n"/>
      <c r="F136" s="27" t="inlineStr">
        <is>
          <t>Si no cumple: aumente hz</t>
        </is>
      </c>
    </row>
    <row r="138" ht="17" customHeight="1">
      <c r="B138" s="21" t="inlineStr">
        <is>
          <t>8. DISEÑO DE LA ZAPATA (cargas amplificadas)</t>
        </is>
      </c>
    </row>
    <row r="139">
      <c r="B139" s="27" t="inlineStr">
        <is>
          <t>Presión última: N u = 1.4·ΣW + 1.7·Wsc ; Mu = 1.4·Mr + 1.7·Wsc·xsc − 1.7·Mv. La presión se integra numéricamente en 20 franjas (columnas ocultas a la derecha).</t>
        </is>
      </c>
    </row>
    <row r="140" ht="13.5" customHeight="1">
      <c r="B140" s="9" t="inlineStr">
        <is>
          <t>Fuerza vertical última</t>
        </is>
      </c>
      <c r="C140" s="22" t="inlineStr">
        <is>
          <t>Nu</t>
        </is>
      </c>
      <c r="D140" s="34">
        <f>1.4*$D$64+1.7*$D$66</f>
        <v/>
      </c>
      <c r="E140" s="24" t="inlineStr">
        <is>
          <t>t/m</t>
        </is>
      </c>
    </row>
    <row r="141" ht="13.5" customHeight="1">
      <c r="B141" s="9" t="inlineStr">
        <is>
          <t>Posición de la resultante última</t>
        </is>
      </c>
      <c r="C141" s="22" t="inlineStr">
        <is>
          <t>xru</t>
        </is>
      </c>
      <c r="D141" s="39">
        <f>(1.4*$D$65+1.7*$D$66*$D$67-1.7*$D$53)/$D$140</f>
        <v/>
      </c>
      <c r="E141" s="24" t="inlineStr">
        <is>
          <t>m</t>
        </is>
      </c>
    </row>
    <row r="142" ht="13.5" customHeight="1">
      <c r="B142" s="9" t="inlineStr">
        <is>
          <t>Excentricidad última</t>
        </is>
      </c>
      <c r="C142" s="22" t="inlineStr">
        <is>
          <t>eu</t>
        </is>
      </c>
      <c r="D142" s="39">
        <f>$D$43/2-$D$141</f>
        <v/>
      </c>
      <c r="E142" s="24" t="inlineStr">
        <is>
          <t>m</t>
        </is>
      </c>
    </row>
    <row r="143" ht="13.5" customHeight="1">
      <c r="B143" s="9" t="inlineStr">
        <is>
          <t>Presión última en la punta</t>
        </is>
      </c>
      <c r="C143" s="22" t="inlineStr">
        <is>
          <t>qu1</t>
        </is>
      </c>
      <c r="D143" s="34">
        <f>IF(ABS($D$142)&lt;=$D$43/6,$D$140/$D$43*(1+6*$D$142/$D$43),IF($D$142&gt;0,2*$D$140/(3*MAX(0.001,$D$141)),0))</f>
        <v/>
      </c>
      <c r="E143" s="24" t="inlineStr">
        <is>
          <t>t/m²</t>
        </is>
      </c>
    </row>
    <row r="144" ht="13.5" customHeight="1">
      <c r="B144" s="9" t="inlineStr">
        <is>
          <t>Presión última en el extremo del talón</t>
        </is>
      </c>
      <c r="C144" s="22" t="inlineStr">
        <is>
          <t>qu2</t>
        </is>
      </c>
      <c r="D144" s="34">
        <f>IF(ABS($D$142)&lt;=$D$43/6,$D$140/$D$43*(1-6*$D$142/$D$43),IF($D$142&lt;0,2*$D$140/(3*MAX(0.001,$D$43-$D$141)),0))</f>
        <v/>
      </c>
      <c r="E144" s="24" t="inlineStr">
        <is>
          <t>t/m²</t>
        </is>
      </c>
    </row>
    <row r="145" ht="13.5" customHeight="1">
      <c r="B145" s="9" t="inlineStr">
        <is>
          <t>Con sismo: Nu = 1.25·(ΣW + Wsc)</t>
        </is>
      </c>
      <c r="C145" s="22" t="inlineStr">
        <is>
          <t>Nus</t>
        </is>
      </c>
      <c r="D145" s="34">
        <f>1.25*($D$64+$D$66)</f>
        <v/>
      </c>
      <c r="E145" s="24" t="inlineStr">
        <is>
          <t>t/m</t>
        </is>
      </c>
    </row>
    <row r="146" ht="13.5" customHeight="1">
      <c r="B146" s="9" t="inlineStr">
        <is>
          <t>Con sismo: resultante última</t>
        </is>
      </c>
      <c r="C146" s="22" t="inlineStr">
        <is>
          <t>xru</t>
        </is>
      </c>
      <c r="D146" s="39">
        <f>(1.25*($D$65+$D$66*$D$67-$D$53)-($D$95-$D$53))/$D$145</f>
        <v/>
      </c>
      <c r="E146" s="24" t="inlineStr">
        <is>
          <t>m</t>
        </is>
      </c>
      <c r="F146" s="27" t="inlineStr">
        <is>
          <t>Incremento sísmico con factor 1.0</t>
        </is>
      </c>
    </row>
    <row r="147" ht="13.5" customHeight="1">
      <c r="B147" s="9" t="inlineStr">
        <is>
          <t>Con sismo: excentricidad</t>
        </is>
      </c>
      <c r="C147" s="22" t="inlineStr">
        <is>
          <t>eu</t>
        </is>
      </c>
      <c r="D147" s="39">
        <f>$D$43/2-$D$146</f>
        <v/>
      </c>
      <c r="E147" s="24" t="inlineStr">
        <is>
          <t>m</t>
        </is>
      </c>
    </row>
    <row r="148" ht="13.5" customHeight="1">
      <c r="B148" s="9" t="inlineStr">
        <is>
          <t>Con sismo: presión en la punta</t>
        </is>
      </c>
      <c r="C148" s="22" t="inlineStr">
        <is>
          <t>qu1</t>
        </is>
      </c>
      <c r="D148" s="34">
        <f>IF(ABS($D$147)&lt;=$D$43/6,$D$145/$D$43*(1+6*$D$147/$D$43),IF($D$147&gt;0,2*$D$145/(3*MAX(0.001,$D$146)),0))</f>
        <v/>
      </c>
      <c r="E148" s="24" t="inlineStr">
        <is>
          <t>t/m²</t>
        </is>
      </c>
    </row>
    <row r="149" ht="13.5" customHeight="1">
      <c r="B149" s="9" t="inlineStr">
        <is>
          <t>Con sismo: presión en el talón</t>
        </is>
      </c>
      <c r="C149" s="22" t="inlineStr">
        <is>
          <t>qu2</t>
        </is>
      </c>
      <c r="D149" s="34">
        <f>IF(ABS($D$147)&lt;=$D$43/6,$D$145/$D$43*(1-6*$D$147/$D$43),IF($D$147&lt;0,2*$D$145/(3*MAX(0.001,$D$43-$D$146)),0))</f>
        <v/>
      </c>
      <c r="E149" s="24" t="inlineStr">
        <is>
          <t>t/m²</t>
        </is>
      </c>
    </row>
    <row r="150" ht="13.5" customHeight="1">
      <c r="B150" s="9" t="inlineStr">
        <is>
          <t>Diámetro de la varilla de la zapata</t>
        </is>
      </c>
      <c r="C150" s="22" t="inlineStr">
        <is>
          <t>db</t>
        </is>
      </c>
      <c r="D150" s="39">
        <f>INDEX(BAR_DB,MATCH($D$39,BAR_NOM,0))</f>
        <v/>
      </c>
      <c r="E150" s="24" t="inlineStr">
        <is>
          <t>cm</t>
        </is>
      </c>
    </row>
    <row r="151" ht="13.5" customHeight="1">
      <c r="B151" s="9" t="inlineStr">
        <is>
          <t>Área de la varilla</t>
        </is>
      </c>
      <c r="C151" s="22" t="inlineStr">
        <is>
          <t>Ab</t>
        </is>
      </c>
      <c r="D151" s="34">
        <f>INDEX(BAR_AS,MATCH($D$39,BAR_NOM,0))</f>
        <v/>
      </c>
      <c r="E151" s="24" t="inlineStr">
        <is>
          <t>cm²</t>
        </is>
      </c>
    </row>
    <row r="152" ht="13.5" customHeight="1">
      <c r="B152" s="9" t="inlineStr">
        <is>
          <t>Peralte efectivo de la zapata</t>
        </is>
      </c>
      <c r="C152" s="22" t="inlineStr">
        <is>
          <t>d</t>
        </is>
      </c>
      <c r="D152" s="34">
        <f>$D$31*100-$D$37-$D$150/2</f>
        <v/>
      </c>
      <c r="E152" s="24" t="inlineStr">
        <is>
          <t>cm</t>
        </is>
      </c>
    </row>
    <row r="153" ht="24" customHeight="1">
      <c r="B153" s="9" t="inlineStr">
        <is>
          <t>Peso propio puntera + relleno (factor 0.9, favorable)</t>
        </is>
      </c>
      <c r="C153" s="22" t="inlineStr">
        <is>
          <t>wpu</t>
        </is>
      </c>
      <c r="D153" s="34">
        <f>0.9*($D$31*$D$14+MAX(0,$D$34-$D$31)*$D$16)</f>
        <v/>
      </c>
      <c r="E153" s="24" t="inlineStr">
        <is>
          <t>t/m²</t>
        </is>
      </c>
    </row>
    <row r="154" ht="24" customHeight="1">
      <c r="B154" s="9" t="inlineStr">
        <is>
          <t>Momento último en la cara de la puntera (envolvente)</t>
        </is>
      </c>
      <c r="C154" s="22" t="inlineStr">
        <is>
          <t>Mu</t>
        </is>
      </c>
      <c r="D154" s="34">
        <f>MAX(0,SUMPRODUCT($J$7:$J$26,$D$32-$I$7:$I$26)*$D$32/20-$D$153*$D$32^2/2,SUMPRODUCT($N$7:$N$26,$D$32-$I$7:$I$26)*$D$32/20-$D$153*$D$32^2/2)</f>
        <v/>
      </c>
      <c r="E154" s="24" t="inlineStr">
        <is>
          <t>t·m/m</t>
        </is>
      </c>
      <c r="F154" s="27" t="inlineStr">
        <is>
          <t>Σ q·Δx·(B1 − x) − wpu·B1²/2 (estático y sismo)</t>
        </is>
      </c>
    </row>
    <row r="155" ht="13.5" customHeight="1">
      <c r="B155" s="9" t="inlineStr">
        <is>
          <t>Cortante último en la cara de la puntera</t>
        </is>
      </c>
      <c r="C155" s="22" t="inlineStr">
        <is>
          <t>Vu</t>
        </is>
      </c>
      <c r="D155" s="34">
        <f>MAX(0,SUM($J$7:$J$26)*$D$32/20-$D$153*$D$32,SUM($N$7:$N$26)*$D$32/20-$D$153*$D$32)</f>
        <v/>
      </c>
      <c r="E155" s="24" t="inlineStr">
        <is>
          <t>t/m</t>
        </is>
      </c>
      <c r="F155" s="27" t="inlineStr">
        <is>
          <t>Conservador: en la cara</t>
        </is>
      </c>
    </row>
    <row r="156" ht="24" customHeight="1">
      <c r="B156" s="9" t="inlineStr">
        <is>
          <t>Carga sobre el talón 1.4(γs·Hp + γc·hz) + 1.7·s/c</t>
        </is>
      </c>
      <c r="C156" s="22" t="inlineStr">
        <is>
          <t>wtu</t>
        </is>
      </c>
      <c r="D156" s="34">
        <f>1.4*($D$16*$D$46+$D$14*$D$31)+1.7*$D$18</f>
        <v/>
      </c>
      <c r="E156" s="24" t="inlineStr">
        <is>
          <t>t/m²</t>
        </is>
      </c>
    </row>
    <row r="157" ht="13.5" customHeight="1">
      <c r="B157" s="9" t="inlineStr">
        <is>
          <t>Con sismo: 1.25·(γs·Hp + γc·hz + s/c)</t>
        </is>
      </c>
      <c r="C157" s="22" t="inlineStr">
        <is>
          <t>wtu</t>
        </is>
      </c>
      <c r="D157" s="34">
        <f>1.25*($D$16*$D$46+$D$14*$D$31+$D$18)</f>
        <v/>
      </c>
      <c r="E157" s="24" t="inlineStr">
        <is>
          <t>t/m²</t>
        </is>
      </c>
    </row>
    <row r="158" ht="13.5" customHeight="1">
      <c r="B158" s="9" t="inlineStr">
        <is>
          <t>Momento último en la cara del talón (envolvente)</t>
        </is>
      </c>
      <c r="C158" s="22" t="inlineStr">
        <is>
          <t>Mu</t>
        </is>
      </c>
      <c r="D158" s="34">
        <f>MAX(0,$D$156*$D$33^2/2-SUMPRODUCT($L$7:$L$26,$K$7:$K$26-$D$32-$D$30)*$D$33/20,$D$157*$D$33^2/2-SUMPRODUCT($O$7:$O$26,$K$7:$K$26-$D$32-$D$30)*$D$33/20)</f>
        <v/>
      </c>
      <c r="E158" s="24" t="inlineStr">
        <is>
          <t>t·m/m</t>
        </is>
      </c>
      <c r="F158" s="27" t="inlineStr">
        <is>
          <t>wtu·B2²/2 − Σ q·Δx·(x − B1 − t2)</t>
        </is>
      </c>
    </row>
    <row r="159" ht="13.5" customHeight="1">
      <c r="B159" s="9" t="inlineStr">
        <is>
          <t>Cortante último en la cara del talón</t>
        </is>
      </c>
      <c r="C159" s="22" t="inlineStr">
        <is>
          <t>Vu</t>
        </is>
      </c>
      <c r="D159" s="34">
        <f>MAX(0,$D$156*$D$33-SUM($L$7:$L$26)*$D$33/20,$D$157*$D$33-SUM($O$7:$O$26)*$D$33/20)</f>
        <v/>
      </c>
      <c r="E159" s="24" t="inlineStr">
        <is>
          <t>t/m</t>
        </is>
      </c>
    </row>
    <row r="160" ht="13.5" customHeight="1">
      <c r="B160" s="9" t="inlineStr">
        <is>
          <t>φVc de la zapata</t>
        </is>
      </c>
      <c r="C160" s="22" t="inlineStr">
        <is>
          <t>φVc</t>
        </is>
      </c>
      <c r="D160" s="34">
        <f>0.85*0.53*SQRT($D$12)*100*$D$152/1000</f>
        <v/>
      </c>
      <c r="E160" s="24" t="inlineStr">
        <is>
          <t>t/m</t>
        </is>
      </c>
    </row>
    <row r="161" ht="13.5" customHeight="1">
      <c r="B161" s="9" t="inlineStr">
        <is>
          <t>Vu ≤ φVc (puntera y talón)</t>
        </is>
      </c>
      <c r="C161" s="29">
        <f>IF(MAX($D$155,$D$159)&lt;=$D$160,"CUMPLE","NO CUMPLE")</f>
        <v/>
      </c>
      <c r="D161" s="30" t="n"/>
      <c r="E161" s="30" t="n"/>
      <c r="F161" s="27" t="inlineStr">
        <is>
          <t>Si no cumple: aumente hz</t>
        </is>
      </c>
    </row>
    <row r="162" ht="13.5" customHeight="1">
      <c r="B162" s="9" t="inlineStr">
        <is>
          <t>Acero mínimo 0.0018·b·hz</t>
        </is>
      </c>
      <c r="C162" s="22" t="inlineStr">
        <is>
          <t>Asmín</t>
        </is>
      </c>
      <c r="D162" s="34">
        <f>0.0018*100*$D$31*100</f>
        <v/>
      </c>
      <c r="E162" s="24" t="inlineStr">
        <is>
          <t>cm²/m</t>
        </is>
      </c>
      <c r="F162" s="27" t="inlineStr">
        <is>
          <t>E.060 10.5.4</t>
        </is>
      </c>
    </row>
    <row r="163" ht="13.5" customHeight="1">
      <c r="B163" s="9" t="inlineStr">
        <is>
          <t>Control de la sección · puntera</t>
        </is>
      </c>
      <c r="C163" s="22" t="inlineStr"/>
      <c r="D163" s="39">
        <f>1-2*$D$154*100000/(0.9*0.85*$D$12*100*$D$152^2)</f>
        <v/>
      </c>
      <c r="E163" s="24" t="inlineStr"/>
    </row>
    <row r="164" ht="13.5" customHeight="1">
      <c r="B164" s="9" t="inlineStr">
        <is>
          <t>Sección suficiente a flexión</t>
        </is>
      </c>
      <c r="C164" s="29">
        <f>IF($D$163&gt;=0,"CUMPLE","NO CUMPLE")</f>
        <v/>
      </c>
      <c r="D164" s="30" t="n"/>
      <c r="E164" s="30" t="n"/>
      <c r="F164" s="27" t="inlineStr">
        <is>
          <t>Si no cumple: aumente hz</t>
        </is>
      </c>
    </row>
    <row r="165" ht="13.5" customHeight="1">
      <c r="B165" s="9" t="inlineStr">
        <is>
          <t>Acero requerido · PUNTERA (cara inferior)</t>
        </is>
      </c>
      <c r="C165" s="22" t="inlineStr">
        <is>
          <t>As</t>
        </is>
      </c>
      <c r="D165" s="34">
        <f>0.85*$D$12*100*$D$152/$D$13*(1-SQRT(MAX(0,1-2*$D$154*100000/(0.9*0.85*$D$12*100*$D$152^2))))</f>
        <v/>
      </c>
      <c r="E165" s="24" t="inlineStr">
        <is>
          <t>cm²/m</t>
        </is>
      </c>
    </row>
    <row r="166" ht="13.5" customHeight="1">
      <c r="B166" s="9" t="inlineStr">
        <is>
          <t>Espaciamiento con As de diseño</t>
        </is>
      </c>
      <c r="C166" s="22" t="inlineStr">
        <is>
          <t>s</t>
        </is>
      </c>
      <c r="D166" s="26">
        <f>MIN(FLOOR($D$151/MAX($D$165,$D$162)*100,2.5),3*$D$31*100,40)</f>
        <v/>
      </c>
      <c r="E166" s="24" t="inlineStr">
        <is>
          <t>cm</t>
        </is>
      </c>
    </row>
    <row r="167" ht="13.5" customHeight="1">
      <c r="B167" s="9" t="inlineStr">
        <is>
          <t>As ≤ 0.75·ρb·b·d</t>
        </is>
      </c>
      <c r="C167" s="29">
        <f>IF($D$165&lt;=0.75*$D$108*100*$D$152,"CUMPLE","NO CUMPLE")</f>
        <v/>
      </c>
      <c r="D167" s="30" t="n"/>
      <c r="E167" s="30" t="n"/>
      <c r="F167" s="27" t="inlineStr">
        <is>
          <t>Si no cumple: aumente hz</t>
        </is>
      </c>
    </row>
    <row r="168" ht="24" customHeight="1">
      <c r="B168" s="9" t="inlineStr">
        <is>
          <t>Espaciamiento libre ≥ máx(db, 2.5 cm) y s ≥ 10 cm</t>
        </is>
      </c>
      <c r="C168" s="29">
        <f>IF(AND($D$166-$D$150&gt;=MAX($D$150,2.5),$D$166&gt;=10),"CUMPLE","NO CUMPLE")</f>
        <v/>
      </c>
      <c r="D168" s="30" t="n"/>
      <c r="E168" s="30" t="n"/>
      <c r="F168" s="27" t="inlineStr">
        <is>
          <t>Si no cumple: use varilla mayor</t>
        </is>
      </c>
    </row>
    <row r="169" ht="13.5" customHeight="1">
      <c r="B169" s="9" t="inlineStr">
        <is>
          <t>ACERO PRINCIPAL PUNTERA (cara inferior)</t>
        </is>
      </c>
      <c r="C169" s="22" t="inlineStr"/>
      <c r="D169" s="44">
        <f>"Ø "&amp;$D$39&amp;" @ "&amp;FIXED($D$166/100,IF(MOD(ROUND($D$166*10,0),50)=0,2,3))&amp;" m"</f>
        <v/>
      </c>
      <c r="E169" s="30" t="n"/>
      <c r="F169" s="30" t="n"/>
    </row>
    <row r="170" ht="13.5" customHeight="1">
      <c r="B170" s="9" t="inlineStr">
        <is>
          <t>Control de la sección · talón</t>
        </is>
      </c>
      <c r="C170" s="22" t="inlineStr"/>
      <c r="D170" s="39">
        <f>1-2*$D$158*100000/(0.9*0.85*$D$12*100*$D$152^2)</f>
        <v/>
      </c>
      <c r="E170" s="24" t="inlineStr"/>
    </row>
    <row r="171" ht="13.5" customHeight="1">
      <c r="B171" s="9" t="inlineStr">
        <is>
          <t>Sección suficiente a flexión</t>
        </is>
      </c>
      <c r="C171" s="29">
        <f>IF($D$170&gt;=0,"CUMPLE","NO CUMPLE")</f>
        <v/>
      </c>
      <c r="D171" s="30" t="n"/>
      <c r="E171" s="30" t="n"/>
      <c r="F171" s="27" t="inlineStr">
        <is>
          <t>Si no cumple: aumente hz</t>
        </is>
      </c>
    </row>
    <row r="172" ht="13.5" customHeight="1">
      <c r="B172" s="9" t="inlineStr">
        <is>
          <t>Acero requerido · TALÓN (cara superior)</t>
        </is>
      </c>
      <c r="C172" s="22" t="inlineStr">
        <is>
          <t>As</t>
        </is>
      </c>
      <c r="D172" s="34">
        <f>0.85*$D$12*100*$D$152/$D$13*(1-SQRT(MAX(0,1-2*$D$158*100000/(0.9*0.85*$D$12*100*$D$152^2))))</f>
        <v/>
      </c>
      <c r="E172" s="24" t="inlineStr">
        <is>
          <t>cm²/m</t>
        </is>
      </c>
    </row>
    <row r="173" ht="13.5" customHeight="1">
      <c r="B173" s="9" t="inlineStr">
        <is>
          <t>Espaciamiento con As de diseño</t>
        </is>
      </c>
      <c r="C173" s="22" t="inlineStr">
        <is>
          <t>s</t>
        </is>
      </c>
      <c r="D173" s="26">
        <f>MIN(FLOOR($D$151/MAX($D$172,$D$162)*100,2.5),3*$D$31*100,40)</f>
        <v/>
      </c>
      <c r="E173" s="24" t="inlineStr">
        <is>
          <t>cm</t>
        </is>
      </c>
    </row>
    <row r="174" ht="13.5" customHeight="1">
      <c r="B174" s="9" t="inlineStr">
        <is>
          <t>As ≤ 0.75·ρb·b·d</t>
        </is>
      </c>
      <c r="C174" s="29">
        <f>IF($D$172&lt;=0.75*$D$108*100*$D$152,"CUMPLE","NO CUMPLE")</f>
        <v/>
      </c>
      <c r="D174" s="30" t="n"/>
      <c r="E174" s="30" t="n"/>
      <c r="F174" s="27" t="inlineStr">
        <is>
          <t>Si no cumple: aumente hz</t>
        </is>
      </c>
    </row>
    <row r="175" ht="24" customHeight="1">
      <c r="B175" s="9" t="inlineStr">
        <is>
          <t>Espaciamiento libre ≥ máx(db, 2.5 cm) y s ≥ 10 cm</t>
        </is>
      </c>
      <c r="C175" s="29">
        <f>IF(AND($D$173-$D$150&gt;=MAX($D$150,2.5),$D$173&gt;=10),"CUMPLE","NO CUMPLE")</f>
        <v/>
      </c>
      <c r="D175" s="30" t="n"/>
      <c r="E175" s="30" t="n"/>
      <c r="F175" s="27" t="inlineStr">
        <is>
          <t>Si no cumple: use varilla mayor</t>
        </is>
      </c>
    </row>
    <row r="176" ht="13.5" customHeight="1">
      <c r="B176" s="9" t="inlineStr">
        <is>
          <t>ACERO PRINCIPAL TALÓN (cara superior)</t>
        </is>
      </c>
      <c r="C176" s="22" t="inlineStr"/>
      <c r="D176" s="44">
        <f>"Ø "&amp;$D$39&amp;" @ "&amp;FIXED($D$173/100,IF(MOD(ROUND($D$173*10,0),50)=0,2,3))&amp;" m"</f>
        <v/>
      </c>
      <c r="E176" s="30" t="n"/>
      <c r="F176" s="30" t="n"/>
    </row>
    <row r="177" ht="13.5" customHeight="1">
      <c r="B177" s="9" t="inlineStr">
        <is>
          <t>Área de la varilla transversal</t>
        </is>
      </c>
      <c r="C177" s="22" t="inlineStr">
        <is>
          <t>Ab</t>
        </is>
      </c>
      <c r="D177" s="34">
        <f>INDEX(BAR_AS,MATCH($D$40,BAR_NOM,0))</f>
        <v/>
      </c>
      <c r="E177" s="24" t="inlineStr">
        <is>
          <t>cm²</t>
        </is>
      </c>
    </row>
    <row r="178" ht="24" customHeight="1">
      <c r="B178" s="9" t="inlineStr">
        <is>
          <t>Acero transversal 0.0018·b·hz, mitad por capa</t>
        </is>
      </c>
      <c r="C178" s="22" t="inlineStr">
        <is>
          <t>s</t>
        </is>
      </c>
      <c r="D178" s="26">
        <f>MIN(FLOOR($D$177/($D$162/2)*100,2.5),3*$D$31*100,40)</f>
        <v/>
      </c>
      <c r="E178" s="24" t="inlineStr">
        <is>
          <t>cm</t>
        </is>
      </c>
      <c r="F178" s="27" t="inlineStr">
        <is>
          <t>E.060 9.7.2: temperatura repartida en las dos capas</t>
        </is>
      </c>
    </row>
    <row r="179" ht="13.5" customHeight="1">
      <c r="B179" s="9" t="inlineStr">
        <is>
          <t>ACERO TRANSVERSAL (cada capa)</t>
        </is>
      </c>
      <c r="C179" s="22" t="inlineStr"/>
      <c r="D179" s="44">
        <f>"Ø "&amp;$D$40&amp;" @ "&amp;FIXED($D$178/100,IF(MOD(ROUND($D$178*10,0),50)=0,2,3))&amp;" m"</f>
        <v/>
      </c>
      <c r="E179" s="30" t="n"/>
      <c r="F179" s="30" t="n"/>
    </row>
    <row r="181" ht="17" customHeight="1">
      <c r="B181" s="21" t="inlineStr">
        <is>
          <t>9. RESUMEN</t>
        </is>
      </c>
    </row>
    <row r="182" ht="13.5" customHeight="1">
      <c r="B182" s="9" t="inlineStr">
        <is>
          <t>Geometría B × H (t1 / t2 / hz)</t>
        </is>
      </c>
      <c r="C182" s="22" t="inlineStr"/>
      <c r="D182" s="44">
        <f>FIXED($D$43,2)&amp;" × "&amp;FIXED($D$28,2)&amp;" m ("&amp;FIXED($D$29,2)&amp;" / "&amp;FIXED($D$30,2)&amp;" / "&amp;FIXED($D$31,2)&amp;")"</f>
        <v/>
      </c>
      <c r="E182" s="30" t="n"/>
      <c r="F182" s="30" t="n"/>
    </row>
    <row r="183" ht="13.5" customHeight="1">
      <c r="B183" s="9" t="inlineStr">
        <is>
          <t>Con sismo: FSV / FSD / qmáx</t>
        </is>
      </c>
      <c r="C183" s="22" t="inlineStr"/>
      <c r="D183" s="44">
        <f>FIXED($D$97,2)&amp;" / "&amp;FIXED($D$99,2)&amp;" / "&amp;FIXED($D$103/10,2)&amp;" kgf/cm²"</f>
        <v/>
      </c>
      <c r="E183" s="30" t="n"/>
      <c r="F183" s="30" t="n"/>
    </row>
    <row r="184" ht="13.5" customHeight="1">
      <c r="B184" s="9" t="inlineStr">
        <is>
          <t>FSV / FSD / qmáx</t>
        </is>
      </c>
      <c r="C184" s="22" t="inlineStr"/>
      <c r="D184" s="44">
        <f>FIXED($D$70,2)&amp;" / "&amp;FIXED($D$74,2)&amp;" / "&amp;FIXED($D$83/10,2)&amp;" kgf/cm²"</f>
        <v/>
      </c>
      <c r="E184" s="30" t="n"/>
      <c r="F184" s="30" t="n"/>
    </row>
    <row r="185" ht="13.5" customHeight="1">
      <c r="B185" s="9" t="inlineStr">
        <is>
          <t>Pantalla vertical interior</t>
        </is>
      </c>
      <c r="C185" s="22" t="inlineStr"/>
      <c r="D185" s="44">
        <f>$D$124</f>
        <v/>
      </c>
      <c r="E185" s="30" t="n"/>
      <c r="F185" s="30" t="n"/>
    </row>
    <row r="186" ht="13.5" customHeight="1">
      <c r="B186" s="9" t="inlineStr">
        <is>
          <t>Pantalla horizontal</t>
        </is>
      </c>
      <c r="C186" s="22" t="inlineStr"/>
      <c r="D186" s="44">
        <f>$D$131</f>
        <v/>
      </c>
      <c r="E186" s="30" t="n"/>
      <c r="F186" s="30" t="n"/>
    </row>
    <row r="187" ht="13.5" customHeight="1">
      <c r="B187" s="9" t="inlineStr">
        <is>
          <t>Puntera / talón</t>
        </is>
      </c>
      <c r="C187" s="22" t="inlineStr"/>
      <c r="D187" s="44">
        <f>$D$169&amp;" · "&amp;$D$176</f>
        <v/>
      </c>
      <c r="E187" s="30" t="n"/>
      <c r="F187" s="30" t="n"/>
    </row>
    <row r="188" ht="13.5" customHeight="1">
      <c r="B188" s="9" t="inlineStr">
        <is>
          <t>ESTADO GENERAL DEL DISEÑO</t>
        </is>
      </c>
      <c r="C188" s="29">
        <f>IF(AND($C$71="CUMPLE",$C$75="CUMPLE",$C$81="CUMPLE",$C$82="CUMPLE",$C$85="CUMPLE",$C$89="CUMPLE",$C$98="CUMPLE",$C$100="CUMPLE",$C$102="CUMPLE",$C$104="CUMPLE",$C$116="CUMPLE",$C$121="CUMPLE",$C$123="CUMPLE",$C$134="CUMPLE",$C$136="CUMPLE",$C$161="CUMPLE",$C$164="CUMPLE",$C$167="CUMPLE",$C$168="CUMPLE",$C$171="CUMPLE",$C$174="CUMPLE",$C$175="CUMPLE"),"CUMPLE","NO CUMPLE")</f>
        <v/>
      </c>
      <c r="D188" s="30" t="n"/>
      <c r="E188" s="30" t="n"/>
      <c r="F188" s="27" t="inlineStr">
        <is>
          <t>Revise las líneas en rojo</t>
        </is>
      </c>
    </row>
    <row r="190" ht="17" customHeight="1">
      <c r="B190" s="21" t="inlineStr">
        <is>
          <t>10. CROQUIS DE LA SECCIÓN (se actualiza con los datos)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5">
    <mergeCell ref="B106:F106"/>
    <mergeCell ref="B138:F138"/>
    <mergeCell ref="C168:E168"/>
    <mergeCell ref="C134:E134"/>
    <mergeCell ref="D185:F185"/>
    <mergeCell ref="D124:F124"/>
    <mergeCell ref="C164:E164"/>
    <mergeCell ref="C75:E75"/>
    <mergeCell ref="D126:F126"/>
    <mergeCell ref="C167:E167"/>
    <mergeCell ref="C7:F7"/>
    <mergeCell ref="D179:F179"/>
    <mergeCell ref="B190:F190"/>
    <mergeCell ref="C188:E188"/>
    <mergeCell ref="B77:F77"/>
    <mergeCell ref="C3:F3"/>
    <mergeCell ref="C71:E71"/>
    <mergeCell ref="B2:F2"/>
    <mergeCell ref="B48:F48"/>
    <mergeCell ref="C123:E123"/>
    <mergeCell ref="D184:F184"/>
    <mergeCell ref="B42:F42"/>
    <mergeCell ref="C6:F6"/>
    <mergeCell ref="B1:F1"/>
    <mergeCell ref="D176:F176"/>
    <mergeCell ref="C82:E82"/>
    <mergeCell ref="C5:F5"/>
    <mergeCell ref="B181:F181"/>
    <mergeCell ref="C174:E174"/>
    <mergeCell ref="C81:E81"/>
    <mergeCell ref="C161:E161"/>
    <mergeCell ref="B69:F69"/>
    <mergeCell ref="B87:F87"/>
    <mergeCell ref="D169:F169"/>
    <mergeCell ref="C4:F4"/>
    <mergeCell ref="B10:F10"/>
    <mergeCell ref="C102:E102"/>
    <mergeCell ref="C136:E136"/>
    <mergeCell ref="D182:F182"/>
    <mergeCell ref="D187:F187"/>
    <mergeCell ref="C175:E175"/>
    <mergeCell ref="C89:E89"/>
    <mergeCell ref="B55:F55"/>
    <mergeCell ref="C98:E98"/>
    <mergeCell ref="C104:E104"/>
    <mergeCell ref="C116:E116"/>
    <mergeCell ref="B139:F139"/>
    <mergeCell ref="C45:E45"/>
    <mergeCell ref="D186:F186"/>
    <mergeCell ref="D131:F131"/>
    <mergeCell ref="D183:F183"/>
    <mergeCell ref="C100:E100"/>
    <mergeCell ref="C171:E171"/>
    <mergeCell ref="C121:E121"/>
    <mergeCell ref="C85:E85"/>
  </mergeCells>
  <conditionalFormatting sqref="B1:F214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dataValidations count="1">
    <dataValidation sqref="D38 D39 D40" showDropDown="0" showInputMessage="0" showErrorMessage="0" allowBlank="0" errorTitle="Valor no válido" error="Elija un valor de la lista" type="list">
      <formula1>=BAR_NOM</formula1>
    </dataValidation>
  </dataValidations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  <rowBreaks count="1" manualBreakCount="1">
    <brk id="189" min="0" max="16383" man="1"/>
  </rowBreaks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E8A5A"/>
    <outlinePr summaryBelow="1" summaryRight="1"/>
    <pageSetUpPr fitToPage="1"/>
  </sheetPr>
  <dimension ref="B1:I27"/>
  <sheetViews>
    <sheetView showGridLines="0" zoomScale="110" workbookViewId="0">
      <selection activeCell="A1" sqref="A1"/>
    </sheetView>
  </sheetViews>
  <sheetFormatPr baseColWidth="8" defaultRowHeight="15"/>
  <cols>
    <col width="1.5" customWidth="1" min="1" max="1"/>
    <col width="1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</cols>
  <sheetData>
    <row r="1" ht="24" customHeight="1">
      <c r="B1" s="14" t="inlineStr">
        <is>
          <t>ANCLAJES Y EMPALMES · NTE E.060 CAP. 12</t>
        </is>
      </c>
    </row>
    <row r="2" ht="15" customHeight="1">
      <c r="B2" s="15" t="inlineStr">
        <is>
          <t>ALF_BIM · Plantilla Excel Estructuras · NTE E.060 Concreto Armado · v2.1.0</t>
        </is>
      </c>
    </row>
    <row r="3">
      <c r="B3" s="16" t="inlineStr">
        <is>
          <t>Proyecto</t>
        </is>
      </c>
      <c r="C3" s="17">
        <f>INICIO!$D$7</f>
        <v/>
      </c>
      <c r="D3" s="18" t="n"/>
      <c r="E3" s="18" t="n"/>
      <c r="F3" s="18" t="n"/>
      <c r="G3" s="18" t="n"/>
      <c r="H3" s="18" t="n"/>
      <c r="I3" s="18" t="n"/>
    </row>
    <row r="4">
      <c r="B4" s="16" t="inlineStr">
        <is>
          <t>Ubicación</t>
        </is>
      </c>
      <c r="C4" s="17">
        <f>INICIO!$D$9</f>
        <v/>
      </c>
      <c r="D4" s="18" t="n"/>
      <c r="E4" s="18" t="n"/>
      <c r="F4" s="18" t="n"/>
      <c r="G4" s="18" t="n"/>
      <c r="H4" s="18" t="n"/>
      <c r="I4" s="18" t="n"/>
    </row>
    <row r="5">
      <c r="B5" s="16" t="inlineStr">
        <is>
          <t>Elemento</t>
        </is>
      </c>
      <c r="C5" s="19" t="inlineStr">
        <is>
          <t>Cuadro general</t>
        </is>
      </c>
      <c r="D5" s="18" t="n"/>
      <c r="E5" s="18" t="n"/>
      <c r="F5" s="18" t="n"/>
      <c r="G5" s="18" t="n"/>
      <c r="H5" s="18" t="n"/>
      <c r="I5" s="18" t="n"/>
    </row>
    <row r="6">
      <c r="B6" s="16" t="inlineStr">
        <is>
          <t>Calculista</t>
        </is>
      </c>
      <c r="C6" s="17">
        <f>INICIO!$D$10&amp;IF(INICIO!$D$11="",""," · CIP "&amp;INICIO!$D$11)</f>
        <v/>
      </c>
      <c r="D6" s="18" t="n"/>
      <c r="E6" s="18" t="n"/>
      <c r="F6" s="18" t="n"/>
      <c r="G6" s="18" t="n"/>
      <c r="H6" s="18" t="n"/>
      <c r="I6" s="18" t="n"/>
    </row>
    <row r="7">
      <c r="B7" s="16" t="inlineStr">
        <is>
          <t>Fecha</t>
        </is>
      </c>
      <c r="C7" s="20">
        <f>INICIO!$D$12</f>
        <v/>
      </c>
      <c r="D7" s="18" t="n"/>
      <c r="E7" s="18" t="n"/>
      <c r="F7" s="18" t="n"/>
      <c r="G7" s="18" t="n"/>
      <c r="H7" s="18" t="n"/>
      <c r="I7" s="18" t="n"/>
    </row>
    <row r="10" ht="17" customHeight="1">
      <c r="B10" s="21" t="inlineStr">
        <is>
          <t>1. DATOS</t>
        </is>
      </c>
    </row>
    <row r="11" ht="13.5" customHeight="1">
      <c r="B11" s="9" t="inlineStr">
        <is>
          <t>Resistencia del concreto</t>
        </is>
      </c>
      <c r="C11" s="22" t="inlineStr">
        <is>
          <t>f'c</t>
        </is>
      </c>
      <c r="D11" s="23" t="n">
        <v>210</v>
      </c>
      <c r="E11" s="24" t="inlineStr">
        <is>
          <t>kgf/cm²</t>
        </is>
      </c>
    </row>
    <row r="12" ht="13.5" customHeight="1">
      <c r="B12" s="9" t="inlineStr">
        <is>
          <t>Fluencia del acero</t>
        </is>
      </c>
      <c r="C12" s="22" t="inlineStr">
        <is>
          <t>fy</t>
        </is>
      </c>
      <c r="D12" s="23" t="n">
        <v>4200</v>
      </c>
      <c r="E12" s="24" t="inlineStr">
        <is>
          <t>kgf/cm²</t>
        </is>
      </c>
    </row>
    <row r="14" ht="17" customHeight="1">
      <c r="B14" s="21" t="inlineStr">
        <is>
          <t>2. LONGITUDES (cm) · ψe = λ = 1.0 (barras sin epóxico, concreto normal)</t>
        </is>
      </c>
    </row>
    <row r="15" ht="24" customHeight="1">
      <c r="B15" s="41" t="inlineStr">
        <is>
          <t>Varilla</t>
        </is>
      </c>
      <c r="C15" s="42" t="inlineStr">
        <is>
          <t>db (cm)</t>
        </is>
      </c>
      <c r="D15" s="42" t="inlineStr">
        <is>
          <t>ld inferior</t>
        </is>
      </c>
      <c r="E15" s="42" t="inlineStr">
        <is>
          <t>ld superior (ψt=1.3)</t>
        </is>
      </c>
      <c r="F15" s="42" t="inlineStr">
        <is>
          <t>ldg gancho</t>
        </is>
      </c>
      <c r="G15" s="42" t="inlineStr">
        <is>
          <t>ldc compresión</t>
        </is>
      </c>
      <c r="H15" s="42" t="inlineStr">
        <is>
          <t>Empalme A</t>
        </is>
      </c>
      <c r="I15" s="42" t="inlineStr">
        <is>
          <t>Empalme B superior</t>
        </is>
      </c>
    </row>
    <row r="16">
      <c r="B16" s="29" t="inlineStr">
        <is>
          <t>3/8"</t>
        </is>
      </c>
      <c r="C16" s="39">
        <f>INDEX(BAR_DB,MATCH($B$16,BAR_NOM,0))</f>
        <v/>
      </c>
      <c r="D16" s="28">
        <f>MAX(30,$D$12*1*C16/(IF(C16&lt;=1.905,8.2,6.6)*SQRT($D$11)))</f>
        <v/>
      </c>
      <c r="E16" s="28">
        <f>MAX(30,$D$12*1.3*C16/(IF(C16&lt;=1.905,8.2,6.6)*SQRT($D$11)))</f>
        <v/>
      </c>
      <c r="F16" s="28">
        <f>MAX(15,8*C16,0.075*$D$12*C16/SQRT($D$11))</f>
        <v/>
      </c>
      <c r="G16" s="28">
        <f>MAX(20,0.075*$D$12*C16/SQRT($D$11),0.0042*$D$12*C16)</f>
        <v/>
      </c>
      <c r="H16" s="28">
        <f>D16</f>
        <v/>
      </c>
      <c r="I16" s="28">
        <f>MAX(30,1.3*E16)</f>
        <v/>
      </c>
    </row>
    <row r="17">
      <c r="B17" s="29" t="inlineStr">
        <is>
          <t>12 mm</t>
        </is>
      </c>
      <c r="C17" s="39">
        <f>INDEX(BAR_DB,MATCH($B$17,BAR_NOM,0))</f>
        <v/>
      </c>
      <c r="D17" s="28">
        <f>MAX(30,$D$12*1*C17/(IF(C17&lt;=1.905,8.2,6.6)*SQRT($D$11)))</f>
        <v/>
      </c>
      <c r="E17" s="28">
        <f>MAX(30,$D$12*1.3*C17/(IF(C17&lt;=1.905,8.2,6.6)*SQRT($D$11)))</f>
        <v/>
      </c>
      <c r="F17" s="28">
        <f>MAX(15,8*C17,0.075*$D$12*C17/SQRT($D$11))</f>
        <v/>
      </c>
      <c r="G17" s="28">
        <f>MAX(20,0.075*$D$12*C17/SQRT($D$11),0.0042*$D$12*C17)</f>
        <v/>
      </c>
      <c r="H17" s="28">
        <f>D17</f>
        <v/>
      </c>
      <c r="I17" s="28">
        <f>MAX(30,1.3*E17)</f>
        <v/>
      </c>
    </row>
    <row r="18">
      <c r="B18" s="29" t="inlineStr">
        <is>
          <t>1/2"</t>
        </is>
      </c>
      <c r="C18" s="39">
        <f>INDEX(BAR_DB,MATCH($B$18,BAR_NOM,0))</f>
        <v/>
      </c>
      <c r="D18" s="28">
        <f>MAX(30,$D$12*1*C18/(IF(C18&lt;=1.905,8.2,6.6)*SQRT($D$11)))</f>
        <v/>
      </c>
      <c r="E18" s="28">
        <f>MAX(30,$D$12*1.3*C18/(IF(C18&lt;=1.905,8.2,6.6)*SQRT($D$11)))</f>
        <v/>
      </c>
      <c r="F18" s="28">
        <f>MAX(15,8*C18,0.075*$D$12*C18/SQRT($D$11))</f>
        <v/>
      </c>
      <c r="G18" s="28">
        <f>MAX(20,0.075*$D$12*C18/SQRT($D$11),0.0042*$D$12*C18)</f>
        <v/>
      </c>
      <c r="H18" s="28">
        <f>D18</f>
        <v/>
      </c>
      <c r="I18" s="28">
        <f>MAX(30,1.3*E18)</f>
        <v/>
      </c>
    </row>
    <row r="19">
      <c r="B19" s="29" t="inlineStr">
        <is>
          <t>5/8"</t>
        </is>
      </c>
      <c r="C19" s="39">
        <f>INDEX(BAR_DB,MATCH($B$19,BAR_NOM,0))</f>
        <v/>
      </c>
      <c r="D19" s="28">
        <f>MAX(30,$D$12*1*C19/(IF(C19&lt;=1.905,8.2,6.6)*SQRT($D$11)))</f>
        <v/>
      </c>
      <c r="E19" s="28">
        <f>MAX(30,$D$12*1.3*C19/(IF(C19&lt;=1.905,8.2,6.6)*SQRT($D$11)))</f>
        <v/>
      </c>
      <c r="F19" s="28">
        <f>MAX(15,8*C19,0.075*$D$12*C19/SQRT($D$11))</f>
        <v/>
      </c>
      <c r="G19" s="28">
        <f>MAX(20,0.075*$D$12*C19/SQRT($D$11),0.0042*$D$12*C19)</f>
        <v/>
      </c>
      <c r="H19" s="28">
        <f>D19</f>
        <v/>
      </c>
      <c r="I19" s="28">
        <f>MAX(30,1.3*E19)</f>
        <v/>
      </c>
    </row>
    <row r="20">
      <c r="B20" s="29" t="inlineStr">
        <is>
          <t>3/4"</t>
        </is>
      </c>
      <c r="C20" s="39">
        <f>INDEX(BAR_DB,MATCH($B$20,BAR_NOM,0))</f>
        <v/>
      </c>
      <c r="D20" s="28">
        <f>MAX(30,$D$12*1*C20/(IF(C20&lt;=1.905,8.2,6.6)*SQRT($D$11)))</f>
        <v/>
      </c>
      <c r="E20" s="28">
        <f>MAX(30,$D$12*1.3*C20/(IF(C20&lt;=1.905,8.2,6.6)*SQRT($D$11)))</f>
        <v/>
      </c>
      <c r="F20" s="28">
        <f>MAX(15,8*C20,0.075*$D$12*C20/SQRT($D$11))</f>
        <v/>
      </c>
      <c r="G20" s="28">
        <f>MAX(20,0.075*$D$12*C20/SQRT($D$11),0.0042*$D$12*C20)</f>
        <v/>
      </c>
      <c r="H20" s="28">
        <f>D20</f>
        <v/>
      </c>
      <c r="I20" s="28">
        <f>MAX(30,1.3*E20)</f>
        <v/>
      </c>
    </row>
    <row r="21">
      <c r="B21" s="29" t="inlineStr">
        <is>
          <t>1"</t>
        </is>
      </c>
      <c r="C21" s="39">
        <f>INDEX(BAR_DB,MATCH($B$21,BAR_NOM,0))</f>
        <v/>
      </c>
      <c r="D21" s="28">
        <f>MAX(30,$D$12*1*C21/(IF(C21&lt;=1.905,8.2,6.6)*SQRT($D$11)))</f>
        <v/>
      </c>
      <c r="E21" s="28">
        <f>MAX(30,$D$12*1.3*C21/(IF(C21&lt;=1.905,8.2,6.6)*SQRT($D$11)))</f>
        <v/>
      </c>
      <c r="F21" s="28">
        <f>MAX(15,8*C21,0.075*$D$12*C21/SQRT($D$11))</f>
        <v/>
      </c>
      <c r="G21" s="28">
        <f>MAX(20,0.075*$D$12*C21/SQRT($D$11),0.0042*$D$12*C21)</f>
        <v/>
      </c>
      <c r="H21" s="28">
        <f>D21</f>
        <v/>
      </c>
      <c r="I21" s="28">
        <f>MAX(30,1.3*E21)</f>
        <v/>
      </c>
    </row>
    <row r="23" ht="24" customHeight="1">
      <c r="B23" s="27" t="inlineStr">
        <is>
          <t>ld: E.060 12.2.2 Tabla 12.1 → fy·ψt·ψe·λ·db/(2.6√f'c) MPa = fy·db/(8.2√f'c) kgf/cm² para Ø ≤ 3/4"; /(6.6√f'c) para mayores; ≥ 30 cm.</t>
        </is>
      </c>
    </row>
    <row r="24" ht="24" customHeight="1">
      <c r="B24" s="27" t="inlineStr">
        <is>
          <t>ψt = 1.3 para barras superiores con más de 30 cm de concreto fresco debajo. Válido con espaciamiento libre ≥ db, recubrimiento ≥ db y estribos mínimos.</t>
        </is>
      </c>
    </row>
    <row r="25" ht="24" customHeight="1">
      <c r="B25" s="27" t="inlineStr">
        <is>
          <t>ldg (gancho estándar, 12.5): 0.075·fy·db/√f'c ≥ 8db ≥ 15 cm. ldc (12.3): 0.075·fy·db/√f'c ≥ 0.0042·fy·db ≥ 20 cm.</t>
        </is>
      </c>
    </row>
    <row r="26" ht="24" customHeight="1">
      <c r="B26" s="27" t="inlineStr">
        <is>
          <t>Empalmes por traslape en tracción (12.15): clase A = 1.0·ld, clase B = 1.3·ld, ≥ 30 cm. Use clase B salvo As colocado ≥ 2·As requerido con ≤ 50 % empalmado.</t>
        </is>
      </c>
    </row>
    <row r="27" ht="24" customHeight="1">
      <c r="B27" s="27" t="inlineStr">
        <is>
          <t>En elementos sísmicos no se reduce ld por exceso de acero (12.2.5). No se permiten traslapes en barras mayores de 1 3/8".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4">
    <mergeCell ref="C3:I3"/>
    <mergeCell ref="B25:I25"/>
    <mergeCell ref="B24:I24"/>
    <mergeCell ref="B2:I2"/>
    <mergeCell ref="C4:I4"/>
    <mergeCell ref="B10:I10"/>
    <mergeCell ref="C6:I6"/>
    <mergeCell ref="C7:I7"/>
    <mergeCell ref="B14:I14"/>
    <mergeCell ref="B23:I23"/>
    <mergeCell ref="B27:I27"/>
    <mergeCell ref="B1:I1"/>
    <mergeCell ref="C5:I5"/>
    <mergeCell ref="B26:I26"/>
  </mergeCells>
  <conditionalFormatting sqref="B1:I28">
    <cfRule type="expression" priority="1" dxfId="0">
      <formula>ISNUMBER(FIND("NO CUMPLE",B1))</formula>
    </cfRule>
    <cfRule type="expression" priority="2" dxfId="1">
      <formula>OR(LEFT(B1,7)="REVISAR",LEFT(B1,10)="Aumentar h")</formula>
    </cfRule>
    <cfRule type="expression" priority="3" dxfId="2">
      <formula>B1="CUMPLE"</formula>
    </cfRule>
  </conditionalFormatting>
  <printOptions horizontalCentered="1"/>
  <pageMargins left="0.5" right="0.5" top="0.6" bottom="0.6" header="0.3" footer="0.3"/>
  <pageSetup orientation="portrait" paperSize="9" fitToHeight="0" fitToWidth="1"/>
  <headerFooter>
    <oddHeader>&amp;L&amp;"Times New Roman,Regular"&amp;7 ALF_BIM · Plantilla Excel Estructuras E.060&amp;R&amp;"Times New Roman,Regular"&amp;7 Página &amp;P de &amp;N</oddHeader>
    <oddFooter>&amp;L&amp;"Times New Roman,Regular"&amp;7 www.alfbim.com · Herramienta gratuita de apoyo. Los resultados deben ser revisados por un ingeniero civil colegiado.&amp;R&amp;"Times New Roman,Regular"&amp;7 &amp;A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566070"/>
    <outlinePr summaryBelow="1" summaryRight="1"/>
    <pageSetUpPr fitToPage="1"/>
  </sheetPr>
  <dimension ref="B1:T9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0" customWidth="1" min="3" max="3"/>
    <col width="12" customWidth="1" min="4" max="4"/>
    <col width="12" customWidth="1" min="5" max="5"/>
    <col width="8" customWidth="1" min="6" max="6"/>
    <col width="40" customWidth="1" min="7" max="7"/>
    <col width="12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B1" s="57" t="inlineStr">
        <is>
          <t>TABLAS DE REFERENCIA · ALF_BIM</t>
        </is>
      </c>
    </row>
    <row r="2">
      <c r="B2" s="3" t="inlineStr">
        <is>
          <t>No modificar salvo que sepa lo que hace: las demás hojas leen estos valores.</t>
        </is>
      </c>
    </row>
    <row r="4">
      <c r="B4" s="42" t="inlineStr">
        <is>
          <t>Varilla</t>
        </is>
      </c>
      <c r="C4" s="42" t="inlineStr">
        <is>
          <t>db (cm)</t>
        </is>
      </c>
      <c r="D4" s="42" t="inlineStr">
        <is>
          <t>Área (cm²)</t>
        </is>
      </c>
      <c r="E4" s="42" t="inlineStr">
        <is>
          <t>Peso (kg/m)</t>
        </is>
      </c>
      <c r="G4" s="42" t="inlineStr">
        <is>
          <t>Uso (NTE E.020, Tabla 1)</t>
        </is>
      </c>
      <c r="H4" s="42" t="inlineStr">
        <is>
          <t>s/c (kgf/m²)</t>
        </is>
      </c>
    </row>
    <row r="5">
      <c r="B5" s="58" t="inlineStr">
        <is>
          <t>1/4"</t>
        </is>
      </c>
      <c r="C5" s="58" t="n">
        <v>0.635</v>
      </c>
      <c r="D5" s="58" t="n">
        <v>0.32</v>
      </c>
      <c r="E5" s="58" t="n">
        <v>0.25</v>
      </c>
      <c r="G5" s="38" t="inlineStr">
        <is>
          <t>Vivienda</t>
        </is>
      </c>
      <c r="H5" s="58" t="n">
        <v>200</v>
      </c>
    </row>
    <row r="6">
      <c r="B6" s="58" t="inlineStr">
        <is>
          <t>6 mm</t>
        </is>
      </c>
      <c r="C6" s="58" t="n">
        <v>0.6</v>
      </c>
      <c r="D6" s="58" t="n">
        <v>0.28</v>
      </c>
      <c r="E6" s="58" t="n">
        <v>0.222</v>
      </c>
      <c r="G6" s="38" t="inlineStr">
        <is>
          <t>Corredores y escaleras (vivienda)</t>
        </is>
      </c>
      <c r="H6" s="58" t="n">
        <v>200</v>
      </c>
    </row>
    <row r="7">
      <c r="B7" s="58" t="inlineStr">
        <is>
          <t>8 mm</t>
        </is>
      </c>
      <c r="C7" s="58" t="n">
        <v>0.8</v>
      </c>
      <c r="D7" s="58" t="n">
        <v>0.5</v>
      </c>
      <c r="E7" s="58" t="n">
        <v>0.395</v>
      </c>
      <c r="G7" s="38" t="inlineStr">
        <is>
          <t>Oficinas</t>
        </is>
      </c>
      <c r="H7" s="58" t="n">
        <v>250</v>
      </c>
    </row>
    <row r="8">
      <c r="B8" s="58" t="inlineStr">
        <is>
          <t>3/8"</t>
        </is>
      </c>
      <c r="C8" s="58" t="n">
        <v>0.953</v>
      </c>
      <c r="D8" s="58" t="n">
        <v>0.71</v>
      </c>
      <c r="E8" s="58" t="n">
        <v>0.5600000000000001</v>
      </c>
      <c r="G8" s="38" t="inlineStr">
        <is>
          <t>Corredores y escaleras (oficinas)</t>
        </is>
      </c>
      <c r="H8" s="58" t="n">
        <v>400</v>
      </c>
    </row>
    <row r="9">
      <c r="B9" s="58" t="inlineStr">
        <is>
          <t>12 mm</t>
        </is>
      </c>
      <c r="C9" s="58" t="n">
        <v>1.2</v>
      </c>
      <c r="D9" s="58" t="n">
        <v>1.13</v>
      </c>
      <c r="E9" s="58" t="n">
        <v>0.888</v>
      </c>
      <c r="G9" s="38" t="inlineStr">
        <is>
          <t>Aulas (centros educativos)</t>
        </is>
      </c>
      <c r="H9" s="58" t="n">
        <v>250</v>
      </c>
    </row>
    <row r="10">
      <c r="B10" s="58" t="inlineStr">
        <is>
          <t>1/2"</t>
        </is>
      </c>
      <c r="C10" s="58" t="n">
        <v>1.27</v>
      </c>
      <c r="D10" s="58" t="n">
        <v>1.29</v>
      </c>
      <c r="E10" s="58" t="n">
        <v>0.994</v>
      </c>
      <c r="G10" s="38" t="inlineStr">
        <is>
          <t>Talleres (centros educativos)</t>
        </is>
      </c>
      <c r="H10" s="58" t="n">
        <v>350</v>
      </c>
    </row>
    <row r="11">
      <c r="B11" s="58" t="inlineStr">
        <is>
          <t>5/8"</t>
        </is>
      </c>
      <c r="C11" s="58" t="n">
        <v>1.588</v>
      </c>
      <c r="D11" s="58" t="n">
        <v>2</v>
      </c>
      <c r="E11" s="58" t="n">
        <v>1.552</v>
      </c>
      <c r="G11" s="38" t="inlineStr">
        <is>
          <t>Corredores y escaleras (educación)</t>
        </is>
      </c>
      <c r="H11" s="58" t="n">
        <v>400</v>
      </c>
    </row>
    <row r="12">
      <c r="B12" s="58" t="inlineStr">
        <is>
          <t>3/4"</t>
        </is>
      </c>
      <c r="C12" s="58" t="n">
        <v>1.905</v>
      </c>
      <c r="D12" s="58" t="n">
        <v>2.84</v>
      </c>
      <c r="E12" s="58" t="n">
        <v>2.235</v>
      </c>
      <c r="G12" s="38" t="inlineStr">
        <is>
          <t>Hospitales: cuartos</t>
        </is>
      </c>
      <c r="H12" s="58" t="n">
        <v>200</v>
      </c>
    </row>
    <row r="13">
      <c r="B13" s="58" t="inlineStr">
        <is>
          <t>1"</t>
        </is>
      </c>
      <c r="C13" s="58" t="n">
        <v>2.54</v>
      </c>
      <c r="D13" s="58" t="n">
        <v>5.1</v>
      </c>
      <c r="E13" s="58" t="n">
        <v>3.973</v>
      </c>
      <c r="G13" s="38" t="inlineStr">
        <is>
          <t>Hospitales: salas de operación y laboratorios</t>
        </is>
      </c>
      <c r="H13" s="58" t="n">
        <v>300</v>
      </c>
    </row>
    <row r="14">
      <c r="B14" s="3" t="inlineStr">
        <is>
          <t>Áreas nominales (NTP 341.031 / ASTM A615 Gr. 60; 1/4" y 6 mm: barras lisas o corrugadas de uso común).</t>
        </is>
      </c>
      <c r="G14" s="38" t="inlineStr">
        <is>
          <t>Corredores y escaleras (hospitales)</t>
        </is>
      </c>
      <c r="H14" s="58" t="n">
        <v>400</v>
      </c>
    </row>
    <row r="15">
      <c r="G15" s="38" t="inlineStr">
        <is>
          <t>Hoteles: cuartos</t>
        </is>
      </c>
      <c r="H15" s="58" t="n">
        <v>200</v>
      </c>
    </row>
    <row r="16">
      <c r="B16" s="42" t="inlineStr">
        <is>
          <t>Combinación en vigueta</t>
        </is>
      </c>
      <c r="C16" s="42" t="inlineStr">
        <is>
          <t>Área (cm²)</t>
        </is>
      </c>
      <c r="G16" s="38" t="inlineStr">
        <is>
          <t>Hoteles: salas públicas</t>
        </is>
      </c>
      <c r="H16" s="58" t="n">
        <v>400</v>
      </c>
    </row>
    <row r="17">
      <c r="B17" s="58" t="inlineStr">
        <is>
          <t>1 Ø 3/8"</t>
        </is>
      </c>
      <c r="C17" s="58" t="n">
        <v>0.71</v>
      </c>
      <c r="G17" s="38" t="inlineStr">
        <is>
          <t>Tiendas</t>
        </is>
      </c>
      <c r="H17" s="58" t="n">
        <v>500</v>
      </c>
    </row>
    <row r="18">
      <c r="B18" s="58" t="inlineStr">
        <is>
          <t>1 Ø 1/2"</t>
        </is>
      </c>
      <c r="C18" s="58" t="n">
        <v>1.29</v>
      </c>
      <c r="G18" s="38" t="inlineStr">
        <is>
          <t>Almacenaje</t>
        </is>
      </c>
      <c r="H18" s="58" t="n">
        <v>500</v>
      </c>
    </row>
    <row r="19">
      <c r="B19" s="58" t="inlineStr">
        <is>
          <t>2 Ø 3/8"</t>
        </is>
      </c>
      <c r="C19" s="58" t="n">
        <v>1.42</v>
      </c>
      <c r="G19" s="38" t="inlineStr">
        <is>
          <t>Garajes (vehículos de pasajeros)</t>
        </is>
      </c>
      <c r="H19" s="58" t="n">
        <v>250</v>
      </c>
    </row>
    <row r="20">
      <c r="B20" s="58" t="inlineStr">
        <is>
          <t>1 Ø 3/8" + 1 Ø 1/2"</t>
        </is>
      </c>
      <c r="C20" s="58" t="n">
        <v>2</v>
      </c>
      <c r="G20" s="38" t="inlineStr">
        <is>
          <t>Bibliotecas: salas de lectura</t>
        </is>
      </c>
      <c r="H20" s="58" t="n">
        <v>300</v>
      </c>
    </row>
    <row r="21">
      <c r="B21" s="58" t="inlineStr">
        <is>
          <t>2 Ø 1/2"</t>
        </is>
      </c>
      <c r="C21" s="58" t="n">
        <v>2.58</v>
      </c>
      <c r="G21" s="38" t="inlineStr">
        <is>
          <t>Lugares de asamblea con asientos fijos</t>
        </is>
      </c>
      <c r="H21" s="58" t="n">
        <v>300</v>
      </c>
    </row>
    <row r="22">
      <c r="B22" s="58" t="inlineStr">
        <is>
          <t>1 Ø 1/2" + 1 Ø 5/8"</t>
        </is>
      </c>
      <c r="C22" s="58" t="n">
        <v>3.29</v>
      </c>
      <c r="G22" s="38" t="inlineStr">
        <is>
          <t>Lugares de asamblea con asientos móviles</t>
        </is>
      </c>
      <c r="H22" s="58" t="n">
        <v>400</v>
      </c>
    </row>
    <row r="23">
      <c r="B23" s="58" t="inlineStr">
        <is>
          <t>2 Ø 5/8"</t>
        </is>
      </c>
      <c r="C23" s="58" t="n">
        <v>4</v>
      </c>
      <c r="G23" s="38" t="inlineStr">
        <is>
          <t>Techos con inclinación ≤ 3°</t>
        </is>
      </c>
      <c r="H23" s="58" t="n">
        <v>100</v>
      </c>
    </row>
    <row r="24">
      <c r="B24" s="58" t="inlineStr">
        <is>
          <t>1 Ø 5/8" + 1 Ø 3/4"</t>
        </is>
      </c>
      <c r="C24" s="58" t="n">
        <v>4.84</v>
      </c>
      <c r="G24" s="38" t="inlineStr">
        <is>
          <t>Otro (ingresar valor manual)</t>
        </is>
      </c>
      <c r="H24" s="58" t="n">
        <v>0</v>
      </c>
    </row>
    <row r="25">
      <c r="B25" s="58" t="inlineStr">
        <is>
          <t>2 Ø 3/4"</t>
        </is>
      </c>
      <c r="C25" s="58" t="n">
        <v>5.68</v>
      </c>
      <c r="G25" s="3" t="inlineStr">
        <is>
          <t>Valores repartidos mínimos de la NTE E.020 (2006). Verifique su caso.</t>
        </is>
      </c>
    </row>
    <row r="28">
      <c r="B28" s="42" t="inlineStr">
        <is>
          <t>Aligerado h (cm)</t>
        </is>
      </c>
      <c r="C28" s="42" t="inlineStr">
        <is>
          <t>Peso propio (kgf/m²)</t>
        </is>
      </c>
      <c r="D28" s="42" t="inlineStr">
        <is>
          <t>Ladrillo (m)</t>
        </is>
      </c>
      <c r="E28" s="42" t="inlineStr">
        <is>
          <t>Losa sup. (cm)</t>
        </is>
      </c>
    </row>
    <row r="29">
      <c r="B29" s="58" t="n">
        <v>17</v>
      </c>
      <c r="C29" s="58" t="n">
        <v>280</v>
      </c>
      <c r="D29" s="58" t="n">
        <v>0.12</v>
      </c>
      <c r="E29" s="58" t="n">
        <v>5</v>
      </c>
    </row>
    <row r="30">
      <c r="B30" s="58" t="n">
        <v>20</v>
      </c>
      <c r="C30" s="58" t="n">
        <v>300</v>
      </c>
      <c r="D30" s="58" t="n">
        <v>0.15</v>
      </c>
      <c r="E30" s="58" t="n">
        <v>5</v>
      </c>
    </row>
    <row r="31">
      <c r="B31" s="58" t="n">
        <v>25</v>
      </c>
      <c r="C31" s="58" t="n">
        <v>350</v>
      </c>
      <c r="D31" s="58" t="n">
        <v>0.2</v>
      </c>
      <c r="E31" s="58" t="n">
        <v>5</v>
      </c>
    </row>
    <row r="32">
      <c r="B32" s="58" t="n">
        <v>30</v>
      </c>
      <c r="C32" s="58" t="n">
        <v>420</v>
      </c>
      <c r="D32" s="58" t="n">
        <v>0.25</v>
      </c>
      <c r="E32" s="58" t="n">
        <v>5</v>
      </c>
    </row>
    <row r="33">
      <c r="B33" s="3" t="inlineStr">
        <is>
          <t>E.020 Anexo 1: aligerados en una dirección, viguetas de 0.10 m cada 0.40 m.</t>
        </is>
      </c>
    </row>
    <row r="37">
      <c r="B37" s="59" t="inlineStr">
        <is>
          <t>COEFICIENTES DE MOMENTOS PARA LOSAS EN DOS DIRECCIONES · NTE E.060 13.7 (texto oficial, DS 010-2009-VIVIENDA)</t>
        </is>
      </c>
    </row>
    <row r="38">
      <c r="B38" s="3" t="inlineStr">
        <is>
          <t>m = A/B (A luz corta, B luz larga). Casos 1–9 según E.060 13.7. Celda 0 = borde discontinuo (sin momento negativo).</t>
        </is>
      </c>
    </row>
    <row r="40">
      <c r="B40" s="4" t="inlineStr">
        <is>
          <t>Tabla 13.1 · Momentos negativos (Ca, Cb) · M = C·wu·L²</t>
        </is>
      </c>
    </row>
    <row r="41">
      <c r="B41" s="42" t="inlineStr">
        <is>
          <t>m</t>
        </is>
      </c>
      <c r="C41" s="42" t="inlineStr">
        <is>
          <t>Ca1</t>
        </is>
      </c>
      <c r="D41" s="42" t="inlineStr">
        <is>
          <t>Cb1</t>
        </is>
      </c>
      <c r="E41" s="42" t="inlineStr">
        <is>
          <t>Ca2</t>
        </is>
      </c>
      <c r="F41" s="42" t="inlineStr">
        <is>
          <t>Cb2</t>
        </is>
      </c>
      <c r="G41" s="42" t="inlineStr">
        <is>
          <t>Ca3</t>
        </is>
      </c>
      <c r="H41" s="42" t="inlineStr">
        <is>
          <t>Cb3</t>
        </is>
      </c>
      <c r="I41" s="42" t="inlineStr">
        <is>
          <t>Ca4</t>
        </is>
      </c>
      <c r="J41" s="42" t="inlineStr">
        <is>
          <t>Cb4</t>
        </is>
      </c>
      <c r="K41" s="42" t="inlineStr">
        <is>
          <t>Ca5</t>
        </is>
      </c>
      <c r="L41" s="42" t="inlineStr">
        <is>
          <t>Cb5</t>
        </is>
      </c>
      <c r="M41" s="42" t="inlineStr">
        <is>
          <t>Ca6</t>
        </is>
      </c>
      <c r="N41" s="42" t="inlineStr">
        <is>
          <t>Cb6</t>
        </is>
      </c>
      <c r="O41" s="42" t="inlineStr">
        <is>
          <t>Ca7</t>
        </is>
      </c>
      <c r="P41" s="42" t="inlineStr">
        <is>
          <t>Cb7</t>
        </is>
      </c>
      <c r="Q41" s="42" t="inlineStr">
        <is>
          <t>Ca8</t>
        </is>
      </c>
      <c r="R41" s="42" t="inlineStr">
        <is>
          <t>Cb8</t>
        </is>
      </c>
      <c r="S41" s="42" t="inlineStr">
        <is>
          <t>Ca9</t>
        </is>
      </c>
      <c r="T41" s="42" t="inlineStr">
        <is>
          <t>Cb9</t>
        </is>
      </c>
    </row>
    <row r="42">
      <c r="B42" s="60" t="n">
        <v>1</v>
      </c>
      <c r="C42" s="61" t="n">
        <v>0</v>
      </c>
      <c r="D42" s="61" t="n">
        <v>0</v>
      </c>
      <c r="E42" s="61" t="n">
        <v>0.045</v>
      </c>
      <c r="F42" s="61" t="n">
        <v>0.045</v>
      </c>
      <c r="G42" s="61" t="n">
        <v>0</v>
      </c>
      <c r="H42" s="61" t="n">
        <v>0.076</v>
      </c>
      <c r="I42" s="61" t="n">
        <v>0.05</v>
      </c>
      <c r="J42" s="61" t="n">
        <v>0.05</v>
      </c>
      <c r="K42" s="61" t="n">
        <v>0.075</v>
      </c>
      <c r="L42" s="61" t="n">
        <v>0</v>
      </c>
      <c r="M42" s="61" t="n">
        <v>0.07099999999999999</v>
      </c>
      <c r="N42" s="61" t="n">
        <v>0</v>
      </c>
      <c r="O42" s="61" t="n">
        <v>0</v>
      </c>
      <c r="P42" s="61" t="n">
        <v>0.07099999999999999</v>
      </c>
      <c r="Q42" s="61" t="n">
        <v>0.033</v>
      </c>
      <c r="R42" s="61" t="n">
        <v>0.061</v>
      </c>
      <c r="S42" s="61" t="n">
        <v>0.061</v>
      </c>
      <c r="T42" s="61" t="n">
        <v>0.033</v>
      </c>
    </row>
    <row r="43">
      <c r="B43" s="60" t="n">
        <v>0.95</v>
      </c>
      <c r="C43" s="61" t="n">
        <v>0</v>
      </c>
      <c r="D43" s="61" t="n">
        <v>0</v>
      </c>
      <c r="E43" s="61" t="n">
        <v>0.05</v>
      </c>
      <c r="F43" s="61" t="n">
        <v>0.041</v>
      </c>
      <c r="G43" s="61" t="n">
        <v>0</v>
      </c>
      <c r="H43" s="61" t="n">
        <v>0.07199999999999999</v>
      </c>
      <c r="I43" s="61" t="n">
        <v>0.055</v>
      </c>
      <c r="J43" s="61" t="n">
        <v>0.045</v>
      </c>
      <c r="K43" s="61" t="n">
        <v>0.079</v>
      </c>
      <c r="L43" s="61" t="n">
        <v>0</v>
      </c>
      <c r="M43" s="61" t="n">
        <v>0.075</v>
      </c>
      <c r="N43" s="61" t="n">
        <v>0</v>
      </c>
      <c r="O43" s="61" t="n">
        <v>0</v>
      </c>
      <c r="P43" s="61" t="n">
        <v>0.067</v>
      </c>
      <c r="Q43" s="61" t="n">
        <v>0.038</v>
      </c>
      <c r="R43" s="61" t="n">
        <v>0.056</v>
      </c>
      <c r="S43" s="61" t="n">
        <v>0.065</v>
      </c>
      <c r="T43" s="61" t="n">
        <v>0.029</v>
      </c>
    </row>
    <row r="44">
      <c r="B44" s="60" t="n">
        <v>0.9</v>
      </c>
      <c r="C44" s="61" t="n">
        <v>0</v>
      </c>
      <c r="D44" s="61" t="n">
        <v>0</v>
      </c>
      <c r="E44" s="61" t="n">
        <v>0.055</v>
      </c>
      <c r="F44" s="61" t="n">
        <v>0.037</v>
      </c>
      <c r="G44" s="61" t="n">
        <v>0</v>
      </c>
      <c r="H44" s="61" t="n">
        <v>0.07000000000000001</v>
      </c>
      <c r="I44" s="61" t="n">
        <v>0.06</v>
      </c>
      <c r="J44" s="61" t="n">
        <v>0.04</v>
      </c>
      <c r="K44" s="61" t="n">
        <v>0.08</v>
      </c>
      <c r="L44" s="61" t="n">
        <v>0</v>
      </c>
      <c r="M44" s="61" t="n">
        <v>0.079</v>
      </c>
      <c r="N44" s="61" t="n">
        <v>0</v>
      </c>
      <c r="O44" s="61" t="n">
        <v>0</v>
      </c>
      <c r="P44" s="61" t="n">
        <v>0.062</v>
      </c>
      <c r="Q44" s="61" t="n">
        <v>0.043</v>
      </c>
      <c r="R44" s="61" t="n">
        <v>0.052</v>
      </c>
      <c r="S44" s="61" t="n">
        <v>0.068</v>
      </c>
      <c r="T44" s="61" t="n">
        <v>0.025</v>
      </c>
    </row>
    <row r="45">
      <c r="B45" s="60" t="n">
        <v>0.85</v>
      </c>
      <c r="C45" s="61" t="n">
        <v>0</v>
      </c>
      <c r="D45" s="61" t="n">
        <v>0</v>
      </c>
      <c r="E45" s="61" t="n">
        <v>0.06</v>
      </c>
      <c r="F45" s="61" t="n">
        <v>0.031</v>
      </c>
      <c r="G45" s="61" t="n">
        <v>0</v>
      </c>
      <c r="H45" s="61" t="n">
        <v>0.065</v>
      </c>
      <c r="I45" s="61" t="n">
        <v>0.066</v>
      </c>
      <c r="J45" s="61" t="n">
        <v>0.034</v>
      </c>
      <c r="K45" s="61" t="n">
        <v>0.082</v>
      </c>
      <c r="L45" s="61" t="n">
        <v>0</v>
      </c>
      <c r="M45" s="61" t="n">
        <v>0.083</v>
      </c>
      <c r="N45" s="61" t="n">
        <v>0</v>
      </c>
      <c r="O45" s="61" t="n">
        <v>0</v>
      </c>
      <c r="P45" s="61" t="n">
        <v>0.057</v>
      </c>
      <c r="Q45" s="61" t="n">
        <v>0.049</v>
      </c>
      <c r="R45" s="61" t="n">
        <v>0.046</v>
      </c>
      <c r="S45" s="61" t="n">
        <v>0.07199999999999999</v>
      </c>
      <c r="T45" s="61" t="n">
        <v>0.021</v>
      </c>
    </row>
    <row r="46">
      <c r="B46" s="60" t="n">
        <v>0.8</v>
      </c>
      <c r="C46" s="61" t="n">
        <v>0</v>
      </c>
      <c r="D46" s="61" t="n">
        <v>0</v>
      </c>
      <c r="E46" s="61" t="n">
        <v>0.065</v>
      </c>
      <c r="F46" s="61" t="n">
        <v>0.027</v>
      </c>
      <c r="G46" s="61" t="n">
        <v>0</v>
      </c>
      <c r="H46" s="61" t="n">
        <v>0.061</v>
      </c>
      <c r="I46" s="61" t="n">
        <v>0.07099999999999999</v>
      </c>
      <c r="J46" s="61" t="n">
        <v>0.029</v>
      </c>
      <c r="K46" s="61" t="n">
        <v>0.083</v>
      </c>
      <c r="L46" s="61" t="n">
        <v>0</v>
      </c>
      <c r="M46" s="61" t="n">
        <v>0.08599999999999999</v>
      </c>
      <c r="N46" s="61" t="n">
        <v>0</v>
      </c>
      <c r="O46" s="61" t="n">
        <v>0</v>
      </c>
      <c r="P46" s="61" t="n">
        <v>0.051</v>
      </c>
      <c r="Q46" s="61" t="n">
        <v>0.055</v>
      </c>
      <c r="R46" s="61" t="n">
        <v>0.041</v>
      </c>
      <c r="S46" s="61" t="n">
        <v>0.075</v>
      </c>
      <c r="T46" s="61" t="n">
        <v>0.017</v>
      </c>
    </row>
    <row r="47">
      <c r="B47" s="60" t="n">
        <v>0.75</v>
      </c>
      <c r="C47" s="61" t="n">
        <v>0</v>
      </c>
      <c r="D47" s="61" t="n">
        <v>0</v>
      </c>
      <c r="E47" s="61" t="n">
        <v>0.06900000000000001</v>
      </c>
      <c r="F47" s="61" t="n">
        <v>0.022</v>
      </c>
      <c r="G47" s="61" t="n">
        <v>0</v>
      </c>
      <c r="H47" s="61" t="n">
        <v>0.056</v>
      </c>
      <c r="I47" s="61" t="n">
        <v>0.076</v>
      </c>
      <c r="J47" s="61" t="n">
        <v>0.024</v>
      </c>
      <c r="K47" s="61" t="n">
        <v>0.08500000000000001</v>
      </c>
      <c r="L47" s="61" t="n">
        <v>0</v>
      </c>
      <c r="M47" s="61" t="n">
        <v>0.08799999999999999</v>
      </c>
      <c r="N47" s="61" t="n">
        <v>0</v>
      </c>
      <c r="O47" s="61" t="n">
        <v>0</v>
      </c>
      <c r="P47" s="61" t="n">
        <v>0.044</v>
      </c>
      <c r="Q47" s="61" t="n">
        <v>0.061</v>
      </c>
      <c r="R47" s="61" t="n">
        <v>0.036</v>
      </c>
      <c r="S47" s="61" t="n">
        <v>0.078</v>
      </c>
      <c r="T47" s="61" t="n">
        <v>0.014</v>
      </c>
    </row>
    <row r="48">
      <c r="B48" s="60" t="n">
        <v>0.7</v>
      </c>
      <c r="C48" s="61" t="n">
        <v>0</v>
      </c>
      <c r="D48" s="61" t="n">
        <v>0</v>
      </c>
      <c r="E48" s="61" t="n">
        <v>0.074</v>
      </c>
      <c r="F48" s="61" t="n">
        <v>0.017</v>
      </c>
      <c r="G48" s="61" t="n">
        <v>0</v>
      </c>
      <c r="H48" s="61" t="n">
        <v>0.05</v>
      </c>
      <c r="I48" s="61" t="n">
        <v>0.081</v>
      </c>
      <c r="J48" s="61" t="n">
        <v>0.019</v>
      </c>
      <c r="K48" s="61" t="n">
        <v>0.08599999999999999</v>
      </c>
      <c r="L48" s="61" t="n">
        <v>0</v>
      </c>
      <c r="M48" s="61" t="n">
        <v>0.091</v>
      </c>
      <c r="N48" s="61" t="n">
        <v>0</v>
      </c>
      <c r="O48" s="61" t="n">
        <v>0</v>
      </c>
      <c r="P48" s="61" t="n">
        <v>0.038</v>
      </c>
      <c r="Q48" s="61" t="n">
        <v>0.068</v>
      </c>
      <c r="R48" s="61" t="n">
        <v>0.029</v>
      </c>
      <c r="S48" s="61" t="n">
        <v>0.081</v>
      </c>
      <c r="T48" s="61" t="n">
        <v>0.011</v>
      </c>
    </row>
    <row r="49">
      <c r="B49" s="60" t="n">
        <v>0.65</v>
      </c>
      <c r="C49" s="61" t="n">
        <v>0</v>
      </c>
      <c r="D49" s="61" t="n">
        <v>0</v>
      </c>
      <c r="E49" s="61" t="n">
        <v>0.077</v>
      </c>
      <c r="F49" s="61" t="n">
        <v>0.014</v>
      </c>
      <c r="G49" s="61" t="n">
        <v>0</v>
      </c>
      <c r="H49" s="61" t="n">
        <v>0.043</v>
      </c>
      <c r="I49" s="61" t="n">
        <v>0.08500000000000001</v>
      </c>
      <c r="J49" s="61" t="n">
        <v>0.015</v>
      </c>
      <c r="K49" s="61" t="n">
        <v>0.08699999999999999</v>
      </c>
      <c r="L49" s="61" t="n">
        <v>0</v>
      </c>
      <c r="M49" s="61" t="n">
        <v>0.093</v>
      </c>
      <c r="N49" s="61" t="n">
        <v>0</v>
      </c>
      <c r="O49" s="61" t="n">
        <v>0</v>
      </c>
      <c r="P49" s="61" t="n">
        <v>0.031</v>
      </c>
      <c r="Q49" s="61" t="n">
        <v>0.074</v>
      </c>
      <c r="R49" s="61" t="n">
        <v>0.024</v>
      </c>
      <c r="S49" s="61" t="n">
        <v>0.083</v>
      </c>
      <c r="T49" s="61" t="n">
        <v>0.008</v>
      </c>
    </row>
    <row r="50">
      <c r="B50" s="60" t="n">
        <v>0.6</v>
      </c>
      <c r="C50" s="61" t="n">
        <v>0</v>
      </c>
      <c r="D50" s="61" t="n">
        <v>0</v>
      </c>
      <c r="E50" s="61" t="n">
        <v>0.081</v>
      </c>
      <c r="F50" s="61" t="n">
        <v>0.01</v>
      </c>
      <c r="G50" s="61" t="n">
        <v>0</v>
      </c>
      <c r="H50" s="61" t="n">
        <v>0.035</v>
      </c>
      <c r="I50" s="61" t="n">
        <v>0.089</v>
      </c>
      <c r="J50" s="61" t="n">
        <v>0.011</v>
      </c>
      <c r="K50" s="61" t="n">
        <v>0.08799999999999999</v>
      </c>
      <c r="L50" s="61" t="n">
        <v>0</v>
      </c>
      <c r="M50" s="61" t="n">
        <v>0.095</v>
      </c>
      <c r="N50" s="61" t="n">
        <v>0</v>
      </c>
      <c r="O50" s="61" t="n">
        <v>0</v>
      </c>
      <c r="P50" s="61" t="n">
        <v>0.024</v>
      </c>
      <c r="Q50" s="61" t="n">
        <v>0.08</v>
      </c>
      <c r="R50" s="61" t="n">
        <v>0.018</v>
      </c>
      <c r="S50" s="61" t="n">
        <v>0.08500000000000001</v>
      </c>
      <c r="T50" s="61" t="n">
        <v>0.006</v>
      </c>
    </row>
    <row r="51">
      <c r="B51" s="60" t="n">
        <v>0.55</v>
      </c>
      <c r="C51" s="61" t="n">
        <v>0</v>
      </c>
      <c r="D51" s="61" t="n">
        <v>0</v>
      </c>
      <c r="E51" s="61" t="n">
        <v>0.08400000000000001</v>
      </c>
      <c r="F51" s="61" t="n">
        <v>0.007</v>
      </c>
      <c r="G51" s="61" t="n">
        <v>0</v>
      </c>
      <c r="H51" s="61" t="n">
        <v>0.028</v>
      </c>
      <c r="I51" s="61" t="n">
        <v>0.092</v>
      </c>
      <c r="J51" s="61" t="n">
        <v>0.008</v>
      </c>
      <c r="K51" s="61" t="n">
        <v>0.089</v>
      </c>
      <c r="L51" s="61" t="n">
        <v>0</v>
      </c>
      <c r="M51" s="61" t="n">
        <v>0.096</v>
      </c>
      <c r="N51" s="61" t="n">
        <v>0</v>
      </c>
      <c r="O51" s="61" t="n">
        <v>0</v>
      </c>
      <c r="P51" s="61" t="n">
        <v>0.019</v>
      </c>
      <c r="Q51" s="61" t="n">
        <v>0.08500000000000001</v>
      </c>
      <c r="R51" s="61" t="n">
        <v>0.014</v>
      </c>
      <c r="S51" s="61" t="n">
        <v>0.08599999999999999</v>
      </c>
      <c r="T51" s="61" t="n">
        <v>0.005</v>
      </c>
    </row>
    <row r="52">
      <c r="B52" s="60" t="n">
        <v>0.5</v>
      </c>
      <c r="C52" s="61" t="n">
        <v>0</v>
      </c>
      <c r="D52" s="61" t="n">
        <v>0</v>
      </c>
      <c r="E52" s="61" t="n">
        <v>0.08599999999999999</v>
      </c>
      <c r="F52" s="61" t="n">
        <v>0.006</v>
      </c>
      <c r="G52" s="61" t="n">
        <v>0</v>
      </c>
      <c r="H52" s="61" t="n">
        <v>0.022</v>
      </c>
      <c r="I52" s="61" t="n">
        <v>0.094</v>
      </c>
      <c r="J52" s="61" t="n">
        <v>0.006</v>
      </c>
      <c r="K52" s="61" t="n">
        <v>0.09</v>
      </c>
      <c r="L52" s="61" t="n">
        <v>0</v>
      </c>
      <c r="M52" s="61" t="n">
        <v>0.097</v>
      </c>
      <c r="N52" s="61" t="n">
        <v>0</v>
      </c>
      <c r="O52" s="61" t="n">
        <v>0</v>
      </c>
      <c r="P52" s="61" t="n">
        <v>0.014</v>
      </c>
      <c r="Q52" s="61" t="n">
        <v>0.089</v>
      </c>
      <c r="R52" s="61" t="n">
        <v>0.01</v>
      </c>
      <c r="S52" s="61" t="n">
        <v>0.08799999999999999</v>
      </c>
      <c r="T52" s="61" t="n">
        <v>0.003</v>
      </c>
    </row>
    <row r="54">
      <c r="B54" s="4" t="inlineStr">
        <is>
          <t>Tabla 13.2 · Momentos positivos por carga muerta amplificada</t>
        </is>
      </c>
    </row>
    <row r="55">
      <c r="B55" s="42" t="inlineStr">
        <is>
          <t>m</t>
        </is>
      </c>
      <c r="C55" s="42" t="inlineStr">
        <is>
          <t>Ca1</t>
        </is>
      </c>
      <c r="D55" s="42" t="inlineStr">
        <is>
          <t>Cb1</t>
        </is>
      </c>
      <c r="E55" s="42" t="inlineStr">
        <is>
          <t>Ca2</t>
        </is>
      </c>
      <c r="F55" s="42" t="inlineStr">
        <is>
          <t>Cb2</t>
        </is>
      </c>
      <c r="G55" s="42" t="inlineStr">
        <is>
          <t>Ca3</t>
        </is>
      </c>
      <c r="H55" s="42" t="inlineStr">
        <is>
          <t>Cb3</t>
        </is>
      </c>
      <c r="I55" s="42" t="inlineStr">
        <is>
          <t>Ca4</t>
        </is>
      </c>
      <c r="J55" s="42" t="inlineStr">
        <is>
          <t>Cb4</t>
        </is>
      </c>
      <c r="K55" s="42" t="inlineStr">
        <is>
          <t>Ca5</t>
        </is>
      </c>
      <c r="L55" s="42" t="inlineStr">
        <is>
          <t>Cb5</t>
        </is>
      </c>
      <c r="M55" s="42" t="inlineStr">
        <is>
          <t>Ca6</t>
        </is>
      </c>
      <c r="N55" s="42" t="inlineStr">
        <is>
          <t>Cb6</t>
        </is>
      </c>
      <c r="O55" s="42" t="inlineStr">
        <is>
          <t>Ca7</t>
        </is>
      </c>
      <c r="P55" s="42" t="inlineStr">
        <is>
          <t>Cb7</t>
        </is>
      </c>
      <c r="Q55" s="42" t="inlineStr">
        <is>
          <t>Ca8</t>
        </is>
      </c>
      <c r="R55" s="42" t="inlineStr">
        <is>
          <t>Cb8</t>
        </is>
      </c>
      <c r="S55" s="42" t="inlineStr">
        <is>
          <t>Ca9</t>
        </is>
      </c>
      <c r="T55" s="42" t="inlineStr">
        <is>
          <t>Cb9</t>
        </is>
      </c>
    </row>
    <row r="56">
      <c r="B56" s="60" t="n">
        <v>1</v>
      </c>
      <c r="C56" s="61" t="n">
        <v>0.036</v>
      </c>
      <c r="D56" s="61" t="n">
        <v>0.036</v>
      </c>
      <c r="E56" s="61" t="n">
        <v>0.018</v>
      </c>
      <c r="F56" s="61" t="n">
        <v>0.018</v>
      </c>
      <c r="G56" s="61" t="n">
        <v>0.018</v>
      </c>
      <c r="H56" s="61" t="n">
        <v>0.027</v>
      </c>
      <c r="I56" s="61" t="n">
        <v>0.027</v>
      </c>
      <c r="J56" s="61" t="n">
        <v>0.027</v>
      </c>
      <c r="K56" s="61" t="n">
        <v>0.027</v>
      </c>
      <c r="L56" s="61" t="n">
        <v>0.018</v>
      </c>
      <c r="M56" s="61" t="n">
        <v>0.033</v>
      </c>
      <c r="N56" s="61" t="n">
        <v>0.027</v>
      </c>
      <c r="O56" s="61" t="n">
        <v>0.027</v>
      </c>
      <c r="P56" s="61" t="n">
        <v>0.033</v>
      </c>
      <c r="Q56" s="61" t="n">
        <v>0.02</v>
      </c>
      <c r="R56" s="61" t="n">
        <v>0.023</v>
      </c>
      <c r="S56" s="61" t="n">
        <v>0.023</v>
      </c>
      <c r="T56" s="61" t="n">
        <v>0.02</v>
      </c>
    </row>
    <row r="57">
      <c r="B57" s="60" t="n">
        <v>0.95</v>
      </c>
      <c r="C57" s="61" t="n">
        <v>0.04</v>
      </c>
      <c r="D57" s="61" t="n">
        <v>0.033</v>
      </c>
      <c r="E57" s="61" t="n">
        <v>0.02</v>
      </c>
      <c r="F57" s="61" t="n">
        <v>0.016</v>
      </c>
      <c r="G57" s="61" t="n">
        <v>0.021</v>
      </c>
      <c r="H57" s="61" t="n">
        <v>0.025</v>
      </c>
      <c r="I57" s="61" t="n">
        <v>0.03</v>
      </c>
      <c r="J57" s="61" t="n">
        <v>0.024</v>
      </c>
      <c r="K57" s="61" t="n">
        <v>0.028</v>
      </c>
      <c r="L57" s="61" t="n">
        <v>0.015</v>
      </c>
      <c r="M57" s="61" t="n">
        <v>0.036</v>
      </c>
      <c r="N57" s="61" t="n">
        <v>0.024</v>
      </c>
      <c r="O57" s="61" t="n">
        <v>0.031</v>
      </c>
      <c r="P57" s="61" t="n">
        <v>0.031</v>
      </c>
      <c r="Q57" s="61" t="n">
        <v>0.022</v>
      </c>
      <c r="R57" s="61" t="n">
        <v>0.021</v>
      </c>
      <c r="S57" s="61" t="n">
        <v>0.024</v>
      </c>
      <c r="T57" s="61" t="n">
        <v>0.017</v>
      </c>
    </row>
    <row r="58">
      <c r="B58" s="60" t="n">
        <v>0.9</v>
      </c>
      <c r="C58" s="61" t="n">
        <v>0.045</v>
      </c>
      <c r="D58" s="61" t="n">
        <v>0.029</v>
      </c>
      <c r="E58" s="61" t="n">
        <v>0.022</v>
      </c>
      <c r="F58" s="61" t="n">
        <v>0.014</v>
      </c>
      <c r="G58" s="61" t="n">
        <v>0.025</v>
      </c>
      <c r="H58" s="61" t="n">
        <v>0.024</v>
      </c>
      <c r="I58" s="61" t="n">
        <v>0.033</v>
      </c>
      <c r="J58" s="61" t="n">
        <v>0.022</v>
      </c>
      <c r="K58" s="61" t="n">
        <v>0.029</v>
      </c>
      <c r="L58" s="61" t="n">
        <v>0.013</v>
      </c>
      <c r="M58" s="61" t="n">
        <v>0.039</v>
      </c>
      <c r="N58" s="61" t="n">
        <v>0.021</v>
      </c>
      <c r="O58" s="61" t="n">
        <v>0.035</v>
      </c>
      <c r="P58" s="61" t="n">
        <v>0.028</v>
      </c>
      <c r="Q58" s="61" t="n">
        <v>0.025</v>
      </c>
      <c r="R58" s="61" t="n">
        <v>0.019</v>
      </c>
      <c r="S58" s="61" t="n">
        <v>0.026</v>
      </c>
      <c r="T58" s="61" t="n">
        <v>0.015</v>
      </c>
    </row>
    <row r="59">
      <c r="B59" s="60" t="n">
        <v>0.85</v>
      </c>
      <c r="C59" s="61" t="n">
        <v>0.05</v>
      </c>
      <c r="D59" s="61" t="n">
        <v>0.026</v>
      </c>
      <c r="E59" s="61" t="n">
        <v>0.024</v>
      </c>
      <c r="F59" s="61" t="n">
        <v>0.012</v>
      </c>
      <c r="G59" s="61" t="n">
        <v>0.029</v>
      </c>
      <c r="H59" s="61" t="n">
        <v>0.022</v>
      </c>
      <c r="I59" s="61" t="n">
        <v>0.036</v>
      </c>
      <c r="J59" s="61" t="n">
        <v>0.019</v>
      </c>
      <c r="K59" s="61" t="n">
        <v>0.031</v>
      </c>
      <c r="L59" s="61" t="n">
        <v>0.011</v>
      </c>
      <c r="M59" s="61" t="n">
        <v>0.042</v>
      </c>
      <c r="N59" s="61" t="n">
        <v>0.017</v>
      </c>
      <c r="O59" s="61" t="n">
        <v>0.04</v>
      </c>
      <c r="P59" s="61" t="n">
        <v>0.025</v>
      </c>
      <c r="Q59" s="61" t="n">
        <v>0.029</v>
      </c>
      <c r="R59" s="61" t="n">
        <v>0.017</v>
      </c>
      <c r="S59" s="61" t="n">
        <v>0.028</v>
      </c>
      <c r="T59" s="61" t="n">
        <v>0.013</v>
      </c>
    </row>
    <row r="60">
      <c r="B60" s="60" t="n">
        <v>0.8</v>
      </c>
      <c r="C60" s="61" t="n">
        <v>0.056</v>
      </c>
      <c r="D60" s="61" t="n">
        <v>0.023</v>
      </c>
      <c r="E60" s="61" t="n">
        <v>0.026</v>
      </c>
      <c r="F60" s="61" t="n">
        <v>0.011</v>
      </c>
      <c r="G60" s="61" t="n">
        <v>0.034</v>
      </c>
      <c r="H60" s="61" t="n">
        <v>0.02</v>
      </c>
      <c r="I60" s="61" t="n">
        <v>0.039</v>
      </c>
      <c r="J60" s="61" t="n">
        <v>0.016</v>
      </c>
      <c r="K60" s="61" t="n">
        <v>0.032</v>
      </c>
      <c r="L60" s="61" t="n">
        <v>0.008999999999999999</v>
      </c>
      <c r="M60" s="61" t="n">
        <v>0.045</v>
      </c>
      <c r="N60" s="61" t="n">
        <v>0.015</v>
      </c>
      <c r="O60" s="61" t="n">
        <v>0.045</v>
      </c>
      <c r="P60" s="61" t="n">
        <v>0.022</v>
      </c>
      <c r="Q60" s="61" t="n">
        <v>0.032</v>
      </c>
      <c r="R60" s="61" t="n">
        <v>0.015</v>
      </c>
      <c r="S60" s="61" t="n">
        <v>0.029</v>
      </c>
      <c r="T60" s="61" t="n">
        <v>0.01</v>
      </c>
    </row>
    <row r="61">
      <c r="B61" s="60" t="n">
        <v>0.75</v>
      </c>
      <c r="C61" s="61" t="n">
        <v>0.061</v>
      </c>
      <c r="D61" s="61" t="n">
        <v>0.019</v>
      </c>
      <c r="E61" s="61" t="n">
        <v>0.028</v>
      </c>
      <c r="F61" s="61" t="n">
        <v>0.008999999999999999</v>
      </c>
      <c r="G61" s="61" t="n">
        <v>0.04</v>
      </c>
      <c r="H61" s="61" t="n">
        <v>0.018</v>
      </c>
      <c r="I61" s="61" t="n">
        <v>0.043</v>
      </c>
      <c r="J61" s="61" t="n">
        <v>0.013</v>
      </c>
      <c r="K61" s="61" t="n">
        <v>0.033</v>
      </c>
      <c r="L61" s="61" t="n">
        <v>0.007</v>
      </c>
      <c r="M61" s="61" t="n">
        <v>0.048</v>
      </c>
      <c r="N61" s="61" t="n">
        <v>0.012</v>
      </c>
      <c r="O61" s="61" t="n">
        <v>0.051</v>
      </c>
      <c r="P61" s="61" t="n">
        <v>0.02</v>
      </c>
      <c r="Q61" s="61" t="n">
        <v>0.036</v>
      </c>
      <c r="R61" s="61" t="n">
        <v>0.013</v>
      </c>
      <c r="S61" s="61" t="n">
        <v>0.031</v>
      </c>
      <c r="T61" s="61" t="n">
        <v>0.007</v>
      </c>
    </row>
    <row r="62">
      <c r="B62" s="60" t="n">
        <v>0.7</v>
      </c>
      <c r="C62" s="61" t="n">
        <v>0.068</v>
      </c>
      <c r="D62" s="61" t="n">
        <v>0.016</v>
      </c>
      <c r="E62" s="61" t="n">
        <v>0.03</v>
      </c>
      <c r="F62" s="61" t="n">
        <v>0.007</v>
      </c>
      <c r="G62" s="61" t="n">
        <v>0.046</v>
      </c>
      <c r="H62" s="61" t="n">
        <v>0.016</v>
      </c>
      <c r="I62" s="61" t="n">
        <v>0.046</v>
      </c>
      <c r="J62" s="61" t="n">
        <v>0.011</v>
      </c>
      <c r="K62" s="61" t="n">
        <v>0.035</v>
      </c>
      <c r="L62" s="61" t="n">
        <v>0.005</v>
      </c>
      <c r="M62" s="61" t="n">
        <v>0.051</v>
      </c>
      <c r="N62" s="61" t="n">
        <v>0.008999999999999999</v>
      </c>
      <c r="O62" s="61" t="n">
        <v>0.058</v>
      </c>
      <c r="P62" s="61" t="n">
        <v>0.017</v>
      </c>
      <c r="Q62" s="61" t="n">
        <v>0.04</v>
      </c>
      <c r="R62" s="61" t="n">
        <v>0.011</v>
      </c>
      <c r="S62" s="61" t="n">
        <v>0.033</v>
      </c>
      <c r="T62" s="61" t="n">
        <v>0.006</v>
      </c>
    </row>
    <row r="63">
      <c r="B63" s="60" t="n">
        <v>0.65</v>
      </c>
      <c r="C63" s="61" t="n">
        <v>0.074</v>
      </c>
      <c r="D63" s="61" t="n">
        <v>0.013</v>
      </c>
      <c r="E63" s="61" t="n">
        <v>0.032</v>
      </c>
      <c r="F63" s="61" t="n">
        <v>0.006</v>
      </c>
      <c r="G63" s="61" t="n">
        <v>0.054</v>
      </c>
      <c r="H63" s="61" t="n">
        <v>0.014</v>
      </c>
      <c r="I63" s="61" t="n">
        <v>0.05</v>
      </c>
      <c r="J63" s="61" t="n">
        <v>0.008999999999999999</v>
      </c>
      <c r="K63" s="61" t="n">
        <v>0.036</v>
      </c>
      <c r="L63" s="61" t="n">
        <v>0.004</v>
      </c>
      <c r="M63" s="61" t="n">
        <v>0.054</v>
      </c>
      <c r="N63" s="61" t="n">
        <v>0.007</v>
      </c>
      <c r="O63" s="61" t="n">
        <v>0.065</v>
      </c>
      <c r="P63" s="61" t="n">
        <v>0.014</v>
      </c>
      <c r="Q63" s="61" t="n">
        <v>0.044</v>
      </c>
      <c r="R63" s="61" t="n">
        <v>0.008999999999999999</v>
      </c>
      <c r="S63" s="61" t="n">
        <v>0.034</v>
      </c>
      <c r="T63" s="61" t="n">
        <v>0.005</v>
      </c>
    </row>
    <row r="64">
      <c r="B64" s="60" t="n">
        <v>0.6</v>
      </c>
      <c r="C64" s="61" t="n">
        <v>0.081</v>
      </c>
      <c r="D64" s="61" t="n">
        <v>0.01</v>
      </c>
      <c r="E64" s="61" t="n">
        <v>0.034</v>
      </c>
      <c r="F64" s="61" t="n">
        <v>0.004</v>
      </c>
      <c r="G64" s="61" t="n">
        <v>0.062</v>
      </c>
      <c r="H64" s="61" t="n">
        <v>0.011</v>
      </c>
      <c r="I64" s="61" t="n">
        <v>0.053</v>
      </c>
      <c r="J64" s="61" t="n">
        <v>0.007</v>
      </c>
      <c r="K64" s="61" t="n">
        <v>0.037</v>
      </c>
      <c r="L64" s="61" t="n">
        <v>0.003</v>
      </c>
      <c r="M64" s="61" t="n">
        <v>0.056</v>
      </c>
      <c r="N64" s="61" t="n">
        <v>0.006</v>
      </c>
      <c r="O64" s="61" t="n">
        <v>0.073</v>
      </c>
      <c r="P64" s="61" t="n">
        <v>0.012</v>
      </c>
      <c r="Q64" s="61" t="n">
        <v>0.048</v>
      </c>
      <c r="R64" s="61" t="n">
        <v>0.007</v>
      </c>
      <c r="S64" s="61" t="n">
        <v>0.036</v>
      </c>
      <c r="T64" s="61" t="n">
        <v>0.004</v>
      </c>
    </row>
    <row r="65">
      <c r="B65" s="60" t="n">
        <v>0.55</v>
      </c>
      <c r="C65" s="61" t="n">
        <v>0.08799999999999999</v>
      </c>
      <c r="D65" s="61" t="n">
        <v>0.008</v>
      </c>
      <c r="E65" s="61" t="n">
        <v>0.035</v>
      </c>
      <c r="F65" s="61" t="n">
        <v>0.003</v>
      </c>
      <c r="G65" s="61" t="n">
        <v>0.07099999999999999</v>
      </c>
      <c r="H65" s="61" t="n">
        <v>0.008999999999999999</v>
      </c>
      <c r="I65" s="61" t="n">
        <v>0.056</v>
      </c>
      <c r="J65" s="61" t="n">
        <v>0.005</v>
      </c>
      <c r="K65" s="61" t="n">
        <v>0.038</v>
      </c>
      <c r="L65" s="61" t="n">
        <v>0.002</v>
      </c>
      <c r="M65" s="61" t="n">
        <v>0.058</v>
      </c>
      <c r="N65" s="61" t="n">
        <v>0.004</v>
      </c>
      <c r="O65" s="61" t="n">
        <v>0.081</v>
      </c>
      <c r="P65" s="61" t="n">
        <v>0.008999999999999999</v>
      </c>
      <c r="Q65" s="61" t="n">
        <v>0.052</v>
      </c>
      <c r="R65" s="61" t="n">
        <v>0.005</v>
      </c>
      <c r="S65" s="61" t="n">
        <v>0.037</v>
      </c>
      <c r="T65" s="61" t="n">
        <v>0.003</v>
      </c>
    </row>
    <row r="66">
      <c r="B66" s="60" t="n">
        <v>0.5</v>
      </c>
      <c r="C66" s="61" t="n">
        <v>0.095</v>
      </c>
      <c r="D66" s="61" t="n">
        <v>0.006</v>
      </c>
      <c r="E66" s="61" t="n">
        <v>0.037</v>
      </c>
      <c r="F66" s="61" t="n">
        <v>0.002</v>
      </c>
      <c r="G66" s="61" t="n">
        <v>0.08</v>
      </c>
      <c r="H66" s="61" t="n">
        <v>0.007</v>
      </c>
      <c r="I66" s="61" t="n">
        <v>0.059</v>
      </c>
      <c r="J66" s="61" t="n">
        <v>0.004</v>
      </c>
      <c r="K66" s="61" t="n">
        <v>0.039</v>
      </c>
      <c r="L66" s="61" t="n">
        <v>0.001</v>
      </c>
      <c r="M66" s="61" t="n">
        <v>0.061</v>
      </c>
      <c r="N66" s="61" t="n">
        <v>0.003</v>
      </c>
      <c r="O66" s="61" t="n">
        <v>0.089</v>
      </c>
      <c r="P66" s="61" t="n">
        <v>0.007</v>
      </c>
      <c r="Q66" s="61" t="n">
        <v>0.056</v>
      </c>
      <c r="R66" s="61" t="n">
        <v>0.004</v>
      </c>
      <c r="S66" s="61" t="n">
        <v>0.038</v>
      </c>
      <c r="T66" s="61" t="n">
        <v>0.002</v>
      </c>
    </row>
    <row r="68">
      <c r="B68" s="4" t="inlineStr">
        <is>
          <t>Tabla 13.3 · Momentos positivos por carga viva amplificada</t>
        </is>
      </c>
    </row>
    <row r="69">
      <c r="B69" s="42" t="inlineStr">
        <is>
          <t>m</t>
        </is>
      </c>
      <c r="C69" s="42" t="inlineStr">
        <is>
          <t>Ca1</t>
        </is>
      </c>
      <c r="D69" s="42" t="inlineStr">
        <is>
          <t>Cb1</t>
        </is>
      </c>
      <c r="E69" s="42" t="inlineStr">
        <is>
          <t>Ca2</t>
        </is>
      </c>
      <c r="F69" s="42" t="inlineStr">
        <is>
          <t>Cb2</t>
        </is>
      </c>
      <c r="G69" s="42" t="inlineStr">
        <is>
          <t>Ca3</t>
        </is>
      </c>
      <c r="H69" s="42" t="inlineStr">
        <is>
          <t>Cb3</t>
        </is>
      </c>
      <c r="I69" s="42" t="inlineStr">
        <is>
          <t>Ca4</t>
        </is>
      </c>
      <c r="J69" s="42" t="inlineStr">
        <is>
          <t>Cb4</t>
        </is>
      </c>
      <c r="K69" s="42" t="inlineStr">
        <is>
          <t>Ca5</t>
        </is>
      </c>
      <c r="L69" s="42" t="inlineStr">
        <is>
          <t>Cb5</t>
        </is>
      </c>
      <c r="M69" s="42" t="inlineStr">
        <is>
          <t>Ca6</t>
        </is>
      </c>
      <c r="N69" s="42" t="inlineStr">
        <is>
          <t>Cb6</t>
        </is>
      </c>
      <c r="O69" s="42" t="inlineStr">
        <is>
          <t>Ca7</t>
        </is>
      </c>
      <c r="P69" s="42" t="inlineStr">
        <is>
          <t>Cb7</t>
        </is>
      </c>
      <c r="Q69" s="42" t="inlineStr">
        <is>
          <t>Ca8</t>
        </is>
      </c>
      <c r="R69" s="42" t="inlineStr">
        <is>
          <t>Cb8</t>
        </is>
      </c>
      <c r="S69" s="42" t="inlineStr">
        <is>
          <t>Ca9</t>
        </is>
      </c>
      <c r="T69" s="42" t="inlineStr">
        <is>
          <t>Cb9</t>
        </is>
      </c>
    </row>
    <row r="70">
      <c r="B70" s="60" t="n">
        <v>1</v>
      </c>
      <c r="C70" s="61" t="n">
        <v>0.036</v>
      </c>
      <c r="D70" s="61" t="n">
        <v>0.036</v>
      </c>
      <c r="E70" s="61" t="n">
        <v>0.027</v>
      </c>
      <c r="F70" s="61" t="n">
        <v>0.027</v>
      </c>
      <c r="G70" s="61" t="n">
        <v>0.027</v>
      </c>
      <c r="H70" s="61" t="n">
        <v>0.032</v>
      </c>
      <c r="I70" s="61" t="n">
        <v>0.032</v>
      </c>
      <c r="J70" s="61" t="n">
        <v>0.032</v>
      </c>
      <c r="K70" s="61" t="n">
        <v>0.032</v>
      </c>
      <c r="L70" s="61" t="n">
        <v>0.027</v>
      </c>
      <c r="M70" s="61" t="n">
        <v>0.035</v>
      </c>
      <c r="N70" s="61" t="n">
        <v>0.032</v>
      </c>
      <c r="O70" s="61" t="n">
        <v>0.032</v>
      </c>
      <c r="P70" s="61" t="n">
        <v>0.035</v>
      </c>
      <c r="Q70" s="61" t="n">
        <v>0.028</v>
      </c>
      <c r="R70" s="61" t="n">
        <v>0.03</v>
      </c>
      <c r="S70" s="61" t="n">
        <v>0.03</v>
      </c>
      <c r="T70" s="61" t="n">
        <v>0.028</v>
      </c>
    </row>
    <row r="71">
      <c r="B71" s="60" t="n">
        <v>0.95</v>
      </c>
      <c r="C71" s="61" t="n">
        <v>0.04</v>
      </c>
      <c r="D71" s="61" t="n">
        <v>0.033</v>
      </c>
      <c r="E71" s="61" t="n">
        <v>0.03</v>
      </c>
      <c r="F71" s="61" t="n">
        <v>0.025</v>
      </c>
      <c r="G71" s="61" t="n">
        <v>0.031</v>
      </c>
      <c r="H71" s="61" t="n">
        <v>0.029</v>
      </c>
      <c r="I71" s="61" t="n">
        <v>0.035</v>
      </c>
      <c r="J71" s="61" t="n">
        <v>0.029</v>
      </c>
      <c r="K71" s="61" t="n">
        <v>0.034</v>
      </c>
      <c r="L71" s="61" t="n">
        <v>0.024</v>
      </c>
      <c r="M71" s="61" t="n">
        <v>0.038</v>
      </c>
      <c r="N71" s="61" t="n">
        <v>0.029</v>
      </c>
      <c r="O71" s="61" t="n">
        <v>0.036</v>
      </c>
      <c r="P71" s="61" t="n">
        <v>0.032</v>
      </c>
      <c r="Q71" s="61" t="n">
        <v>0.031</v>
      </c>
      <c r="R71" s="61" t="n">
        <v>0.027</v>
      </c>
      <c r="S71" s="61" t="n">
        <v>0.032</v>
      </c>
      <c r="T71" s="61" t="n">
        <v>0.025</v>
      </c>
    </row>
    <row r="72">
      <c r="B72" s="60" t="n">
        <v>0.9</v>
      </c>
      <c r="C72" s="61" t="n">
        <v>0.045</v>
      </c>
      <c r="D72" s="61" t="n">
        <v>0.029</v>
      </c>
      <c r="E72" s="61" t="n">
        <v>0.034</v>
      </c>
      <c r="F72" s="61" t="n">
        <v>0.022</v>
      </c>
      <c r="G72" s="61" t="n">
        <v>0.035</v>
      </c>
      <c r="H72" s="61" t="n">
        <v>0.027</v>
      </c>
      <c r="I72" s="61" t="n">
        <v>0.039</v>
      </c>
      <c r="J72" s="61" t="n">
        <v>0.026</v>
      </c>
      <c r="K72" s="61" t="n">
        <v>0.037</v>
      </c>
      <c r="L72" s="61" t="n">
        <v>0.021</v>
      </c>
      <c r="M72" s="61" t="n">
        <v>0.042</v>
      </c>
      <c r="N72" s="61" t="n">
        <v>0.025</v>
      </c>
      <c r="O72" s="61" t="n">
        <v>0.04</v>
      </c>
      <c r="P72" s="61" t="n">
        <v>0.029</v>
      </c>
      <c r="Q72" s="61" t="n">
        <v>0.035</v>
      </c>
      <c r="R72" s="61" t="n">
        <v>0.024</v>
      </c>
      <c r="S72" s="61" t="n">
        <v>0.036</v>
      </c>
      <c r="T72" s="61" t="n">
        <v>0.022</v>
      </c>
    </row>
    <row r="73">
      <c r="B73" s="60" t="n">
        <v>0.85</v>
      </c>
      <c r="C73" s="61" t="n">
        <v>0.05</v>
      </c>
      <c r="D73" s="61" t="n">
        <v>0.026</v>
      </c>
      <c r="E73" s="61" t="n">
        <v>0.037</v>
      </c>
      <c r="F73" s="61" t="n">
        <v>0.019</v>
      </c>
      <c r="G73" s="61" t="n">
        <v>0.04</v>
      </c>
      <c r="H73" s="61" t="n">
        <v>0.024</v>
      </c>
      <c r="I73" s="61" t="n">
        <v>0.043</v>
      </c>
      <c r="J73" s="61" t="n">
        <v>0.023</v>
      </c>
      <c r="K73" s="61" t="n">
        <v>0.041</v>
      </c>
      <c r="L73" s="61" t="n">
        <v>0.019</v>
      </c>
      <c r="M73" s="61" t="n">
        <v>0.046</v>
      </c>
      <c r="N73" s="61" t="n">
        <v>0.022</v>
      </c>
      <c r="O73" s="61" t="n">
        <v>0.045</v>
      </c>
      <c r="P73" s="61" t="n">
        <v>0.026</v>
      </c>
      <c r="Q73" s="61" t="n">
        <v>0.04</v>
      </c>
      <c r="R73" s="61" t="n">
        <v>0.022</v>
      </c>
      <c r="S73" s="61" t="n">
        <v>0.039</v>
      </c>
      <c r="T73" s="61" t="n">
        <v>0.02</v>
      </c>
    </row>
    <row r="74">
      <c r="B74" s="60" t="n">
        <v>0.8</v>
      </c>
      <c r="C74" s="61" t="n">
        <v>0.056</v>
      </c>
      <c r="D74" s="61" t="n">
        <v>0.023</v>
      </c>
      <c r="E74" s="61" t="n">
        <v>0.041</v>
      </c>
      <c r="F74" s="61" t="n">
        <v>0.017</v>
      </c>
      <c r="G74" s="61" t="n">
        <v>0.045</v>
      </c>
      <c r="H74" s="61" t="n">
        <v>0.022</v>
      </c>
      <c r="I74" s="61" t="n">
        <v>0.048</v>
      </c>
      <c r="J74" s="61" t="n">
        <v>0.02</v>
      </c>
      <c r="K74" s="61" t="n">
        <v>0.044</v>
      </c>
      <c r="L74" s="61" t="n">
        <v>0.016</v>
      </c>
      <c r="M74" s="61" t="n">
        <v>0.051</v>
      </c>
      <c r="N74" s="61" t="n">
        <v>0.019</v>
      </c>
      <c r="O74" s="61" t="n">
        <v>0.051</v>
      </c>
      <c r="P74" s="61" t="n">
        <v>0.023</v>
      </c>
      <c r="Q74" s="61" t="n">
        <v>0.044</v>
      </c>
      <c r="R74" s="61" t="n">
        <v>0.019</v>
      </c>
      <c r="S74" s="61" t="n">
        <v>0.042</v>
      </c>
      <c r="T74" s="61" t="n">
        <v>0.017</v>
      </c>
    </row>
    <row r="75">
      <c r="B75" s="60" t="n">
        <v>0.75</v>
      </c>
      <c r="C75" s="61" t="n">
        <v>0.061</v>
      </c>
      <c r="D75" s="61" t="n">
        <v>0.019</v>
      </c>
      <c r="E75" s="61" t="n">
        <v>0.045</v>
      </c>
      <c r="F75" s="61" t="n">
        <v>0.014</v>
      </c>
      <c r="G75" s="61" t="n">
        <v>0.051</v>
      </c>
      <c r="H75" s="61" t="n">
        <v>0.019</v>
      </c>
      <c r="I75" s="61" t="n">
        <v>0.052</v>
      </c>
      <c r="J75" s="61" t="n">
        <v>0.016</v>
      </c>
      <c r="K75" s="61" t="n">
        <v>0.047</v>
      </c>
      <c r="L75" s="61" t="n">
        <v>0.013</v>
      </c>
      <c r="M75" s="61" t="n">
        <v>0.055</v>
      </c>
      <c r="N75" s="61" t="n">
        <v>0.016</v>
      </c>
      <c r="O75" s="61" t="n">
        <v>0.056</v>
      </c>
      <c r="P75" s="61" t="n">
        <v>0.02</v>
      </c>
      <c r="Q75" s="61" t="n">
        <v>0.049</v>
      </c>
      <c r="R75" s="61" t="n">
        <v>0.016</v>
      </c>
      <c r="S75" s="61" t="n">
        <v>0.046</v>
      </c>
      <c r="T75" s="61" t="n">
        <v>0.013</v>
      </c>
    </row>
    <row r="76">
      <c r="B76" s="60" t="n">
        <v>0.7</v>
      </c>
      <c r="C76" s="61" t="n">
        <v>0.068</v>
      </c>
      <c r="D76" s="61" t="n">
        <v>0.016</v>
      </c>
      <c r="E76" s="61" t="n">
        <v>0.049</v>
      </c>
      <c r="F76" s="61" t="n">
        <v>0.012</v>
      </c>
      <c r="G76" s="61" t="n">
        <v>0.057</v>
      </c>
      <c r="H76" s="61" t="n">
        <v>0.016</v>
      </c>
      <c r="I76" s="61" t="n">
        <v>0.057</v>
      </c>
      <c r="J76" s="61" t="n">
        <v>0.014</v>
      </c>
      <c r="K76" s="61" t="n">
        <v>0.051</v>
      </c>
      <c r="L76" s="61" t="n">
        <v>0.011</v>
      </c>
      <c r="M76" s="61" t="n">
        <v>0.06</v>
      </c>
      <c r="N76" s="61" t="n">
        <v>0.013</v>
      </c>
      <c r="O76" s="61" t="n">
        <v>0.063</v>
      </c>
      <c r="P76" s="61" t="n">
        <v>0.017</v>
      </c>
      <c r="Q76" s="61" t="n">
        <v>0.054</v>
      </c>
      <c r="R76" s="61" t="n">
        <v>0.014</v>
      </c>
      <c r="S76" s="61" t="n">
        <v>0.05</v>
      </c>
      <c r="T76" s="61" t="n">
        <v>0.011</v>
      </c>
    </row>
    <row r="77">
      <c r="B77" s="60" t="n">
        <v>0.65</v>
      </c>
      <c r="C77" s="61" t="n">
        <v>0.074</v>
      </c>
      <c r="D77" s="61" t="n">
        <v>0.013</v>
      </c>
      <c r="E77" s="61" t="n">
        <v>0.053</v>
      </c>
      <c r="F77" s="61" t="n">
        <v>0.01</v>
      </c>
      <c r="G77" s="61" t="n">
        <v>0.064</v>
      </c>
      <c r="H77" s="61" t="n">
        <v>0.014</v>
      </c>
      <c r="I77" s="61" t="n">
        <v>0.062</v>
      </c>
      <c r="J77" s="61" t="n">
        <v>0.011</v>
      </c>
      <c r="K77" s="61" t="n">
        <v>0.055</v>
      </c>
      <c r="L77" s="61" t="n">
        <v>0.008999999999999999</v>
      </c>
      <c r="M77" s="61" t="n">
        <v>0.064</v>
      </c>
      <c r="N77" s="61" t="n">
        <v>0.01</v>
      </c>
      <c r="O77" s="61" t="n">
        <v>0.07000000000000001</v>
      </c>
      <c r="P77" s="61" t="n">
        <v>0.014</v>
      </c>
      <c r="Q77" s="61" t="n">
        <v>0.059</v>
      </c>
      <c r="R77" s="61" t="n">
        <v>0.011</v>
      </c>
      <c r="S77" s="61" t="n">
        <v>0.054</v>
      </c>
      <c r="T77" s="61" t="n">
        <v>0.008999999999999999</v>
      </c>
    </row>
    <row r="78">
      <c r="B78" s="60" t="n">
        <v>0.6</v>
      </c>
      <c r="C78" s="61" t="n">
        <v>0.081</v>
      </c>
      <c r="D78" s="61" t="n">
        <v>0.01</v>
      </c>
      <c r="E78" s="61" t="n">
        <v>0.058</v>
      </c>
      <c r="F78" s="61" t="n">
        <v>0.007</v>
      </c>
      <c r="G78" s="61" t="n">
        <v>0.07099999999999999</v>
      </c>
      <c r="H78" s="61" t="n">
        <v>0.011</v>
      </c>
      <c r="I78" s="61" t="n">
        <v>0.067</v>
      </c>
      <c r="J78" s="61" t="n">
        <v>0.008999999999999999</v>
      </c>
      <c r="K78" s="61" t="n">
        <v>0.059</v>
      </c>
      <c r="L78" s="61" t="n">
        <v>0.007</v>
      </c>
      <c r="M78" s="61" t="n">
        <v>0.068</v>
      </c>
      <c r="N78" s="61" t="n">
        <v>0.008</v>
      </c>
      <c r="O78" s="61" t="n">
        <v>0.077</v>
      </c>
      <c r="P78" s="61" t="n">
        <v>0.011</v>
      </c>
      <c r="Q78" s="61" t="n">
        <v>0.065</v>
      </c>
      <c r="R78" s="61" t="n">
        <v>0.008999999999999999</v>
      </c>
      <c r="S78" s="61" t="n">
        <v>0.059</v>
      </c>
      <c r="T78" s="61" t="n">
        <v>0.007</v>
      </c>
    </row>
    <row r="79">
      <c r="B79" s="60" t="n">
        <v>0.55</v>
      </c>
      <c r="C79" s="61" t="n">
        <v>0.08799999999999999</v>
      </c>
      <c r="D79" s="61" t="n">
        <v>0.008</v>
      </c>
      <c r="E79" s="61" t="n">
        <v>0.062</v>
      </c>
      <c r="F79" s="61" t="n">
        <v>0.006</v>
      </c>
      <c r="G79" s="61" t="n">
        <v>0.08</v>
      </c>
      <c r="H79" s="61" t="n">
        <v>0.008999999999999999</v>
      </c>
      <c r="I79" s="61" t="n">
        <v>0.07199999999999999</v>
      </c>
      <c r="J79" s="61" t="n">
        <v>0.007</v>
      </c>
      <c r="K79" s="61" t="n">
        <v>0.063</v>
      </c>
      <c r="L79" s="61" t="n">
        <v>0.005</v>
      </c>
      <c r="M79" s="61" t="n">
        <v>0.073</v>
      </c>
      <c r="N79" s="61" t="n">
        <v>0.006</v>
      </c>
      <c r="O79" s="61" t="n">
        <v>0.08500000000000001</v>
      </c>
      <c r="P79" s="61" t="n">
        <v>0.008999999999999999</v>
      </c>
      <c r="Q79" s="61" t="n">
        <v>0.07000000000000001</v>
      </c>
      <c r="R79" s="61" t="n">
        <v>0.007</v>
      </c>
      <c r="S79" s="61" t="n">
        <v>0.063</v>
      </c>
      <c r="T79" s="61" t="n">
        <v>0.006</v>
      </c>
    </row>
    <row r="80">
      <c r="B80" s="60" t="n">
        <v>0.5</v>
      </c>
      <c r="C80" s="61" t="n">
        <v>0.095</v>
      </c>
      <c r="D80" s="61" t="n">
        <v>0.006</v>
      </c>
      <c r="E80" s="61" t="n">
        <v>0.066</v>
      </c>
      <c r="F80" s="61" t="n">
        <v>0.004</v>
      </c>
      <c r="G80" s="61" t="n">
        <v>0.08799999999999999</v>
      </c>
      <c r="H80" s="61" t="n">
        <v>0.007</v>
      </c>
      <c r="I80" s="61" t="n">
        <v>0.077</v>
      </c>
      <c r="J80" s="61" t="n">
        <v>0.005</v>
      </c>
      <c r="K80" s="61" t="n">
        <v>0.067</v>
      </c>
      <c r="L80" s="61" t="n">
        <v>0.004</v>
      </c>
      <c r="M80" s="61" t="n">
        <v>0.078</v>
      </c>
      <c r="N80" s="61" t="n">
        <v>0.005</v>
      </c>
      <c r="O80" s="61" t="n">
        <v>0.092</v>
      </c>
      <c r="P80" s="61" t="n">
        <v>0.007</v>
      </c>
      <c r="Q80" s="61" t="n">
        <v>0.076</v>
      </c>
      <c r="R80" s="61" t="n">
        <v>0.005</v>
      </c>
      <c r="S80" s="61" t="n">
        <v>0.067</v>
      </c>
      <c r="T80" s="61" t="n">
        <v>0.004</v>
      </c>
    </row>
    <row r="82">
      <c r="B82" s="4" t="inlineStr">
        <is>
          <t>Casos (borde largo: de longitud B, corta la luz A; borde corto: de longitud A)</t>
        </is>
      </c>
    </row>
    <row r="83">
      <c r="B83" s="12" t="inlineStr">
        <is>
          <t>Caso 1 · 4 bordes discontinuos</t>
        </is>
      </c>
    </row>
    <row r="84">
      <c r="B84" s="12" t="inlineStr">
        <is>
          <t>Caso 2 · 4 bordes continuos</t>
        </is>
      </c>
    </row>
    <row r="85">
      <c r="B85" s="12" t="inlineStr">
        <is>
          <t>Caso 3 · 2 bordes cortos continuos</t>
        </is>
      </c>
    </row>
    <row r="86">
      <c r="B86" s="12" t="inlineStr">
        <is>
          <t>Caso 4 · 2 bordes adyacentes continuos</t>
        </is>
      </c>
    </row>
    <row r="87">
      <c r="B87" s="12" t="inlineStr">
        <is>
          <t>Caso 5 · 2 bordes largos continuos</t>
        </is>
      </c>
    </row>
    <row r="88">
      <c r="B88" s="12" t="inlineStr">
        <is>
          <t>Caso 6 · 1 borde largo continuo</t>
        </is>
      </c>
    </row>
    <row r="89">
      <c r="B89" s="12" t="inlineStr">
        <is>
          <t>Caso 7 · 1 borde corto continuo</t>
        </is>
      </c>
    </row>
    <row r="90">
      <c r="B90" s="12" t="inlineStr">
        <is>
          <t>Caso 8 · 2 cortos y 1 largo continuos</t>
        </is>
      </c>
    </row>
    <row r="91">
      <c r="B91" s="12" t="inlineStr">
        <is>
          <t>Caso 9 · 2 largos y 1 corto continuos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ALF_BIM</dc:creator>
  <dc:title xmlns:dc="http://purl.org/dc/elements/1.1/">Plantilla Excel Estructuras ALF</dc:title>
  <dc:subject xmlns:dc="http://purl.org/dc/elements/1.1/">Diseño de concreto armado NTE E.060</dc:subject>
  <dcterms:created xmlns:dcterms="http://purl.org/dc/terms/" xmlns:xsi="http://www.w3.org/2001/XMLSchema-instance" xsi:type="dcterms:W3CDTF">2026-10-15T11:44:33Z</dcterms:created>
  <dcterms:modified xmlns:dcterms="http://purl.org/dc/terms/" xmlns:xsi="http://www.w3.org/2001/XMLSchema-instance" xsi:type="dcterms:W3CDTF">2026-10-15T11:44:33Z</dcterms:modified>
  <cp:keywords>E.060, zapata, muro de contención, losa aligerada, escalera, ALF_BIM</cp:keywords>
</cp:coreProperties>
</file>