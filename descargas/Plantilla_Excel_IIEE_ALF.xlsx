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CIO" sheetId="1" state="visible" r:id="rId1"/>
    <sheet xmlns:r="http://schemas.openxmlformats.org/officeDocument/2006/relationships" name="POZO_TIERRA" sheetId="2" state="visible" r:id="rId2"/>
    <sheet xmlns:r="http://schemas.openxmlformats.org/officeDocument/2006/relationships" name="ILUMINACION" sheetId="3" state="visible" r:id="rId3"/>
    <sheet xmlns:r="http://schemas.openxmlformats.org/officeDocument/2006/relationships" name="ILUM_AMBIENTES" sheetId="4" state="visible" r:id="rId4"/>
    <sheet xmlns:r="http://schemas.openxmlformats.org/officeDocument/2006/relationships" name="CAIDA_TENSION" sheetId="5" state="visible" r:id="rId5"/>
    <sheet xmlns:r="http://schemas.openxmlformats.org/officeDocument/2006/relationships" name="CIRCUITOS" sheetId="6" state="visible" r:id="rId6"/>
    <sheet xmlns:r="http://schemas.openxmlformats.org/officeDocument/2006/relationships" name="TABLAS" sheetId="7" state="visible" r:id="rId7"/>
  </sheets>
  <definedNames>
    <definedName name="SECC">TABLAS!$B$7:$B$21</definedName>
    <definedName name="DIAM_COND">TABLAS!$O$7:$O$21</definedName>
    <definedName name="TABLA2">TABLAS!$C$7:$N$21</definedName>
    <definedName name="MET_DESC">TABLAS!$B$26:$B$31</definedName>
    <definedName name="MET_COD">TABLAS!$C$26:$C$31</definedName>
    <definedName name="FT_T">TABLAS!$B$36:$B$46</definedName>
    <definedName name="FT_AIR">TABLAS!$C$36:$C$46</definedName>
    <definedName name="FT_TER">TABLAS!$D$36:$D$46</definedName>
    <definedName name="FA_N">TABLAS!$B$52:$B$63</definedName>
    <definedName name="FA_F">TABLAS!$C$52:$C$63</definedName>
    <definedName name="ITM">TABLAS!$B$68:$B$86</definedName>
    <definedName name="TUBO_NOM">TABLAS!$B$91:$B$98</definedName>
    <definedName name="TUBO_A40">TABLAS!$D$91:$D$98</definedName>
    <definedName name="SIS_NOM">TABLAS!$B$104:$B$106</definedName>
    <definedName name="SIS_V">TABLAS!$C$104:$C$106</definedName>
    <definedName name="SIS_K">TABLAS!$D$104:$D$106</definedName>
    <definedName name="SIS_K2">TABLAS!$E$104:$E$106</definedName>
    <definedName name="SIS_CARG">TABLAS!$F$104:$F$106</definedName>
    <definedName name="SIS_ACT">TABLAS!$G$104:$G$106</definedName>
    <definedName name="TRAMO_NOM">TABLAS!$B$112:$B$113</definedName>
    <definedName name="TRAMO_LIM">TABLAS!$C$112:$C$113</definedName>
    <definedName name="COND_NOM">TABLAS!$B$118:$B$120</definedName>
    <definedName name="SMIN">TABLAS!$B$124:$B$129</definedName>
    <definedName name="VAR_NOM">TABLAS!$B$135:$B$140</definedName>
    <definedName name="VAR_D">TABLAS!$C$135:$C$140</definedName>
    <definedName name="VAR_MAT">TABLAS!$D$135:$D$140</definedName>
    <definedName name="VAR_DMIN">TABLAS!$E$135:$E$140</definedName>
    <definedName name="TRAT_NOM">TABLAS!$B$146:$B$153</definedName>
    <definedName name="TRAT_RHO">TABLAS!$C$146:$C$153</definedName>
    <definedName name="TRAT_DOS">TABLAS!$D$146:$D$153</definedName>
    <definedName name="TRAT_SRC">TABLAS!$E$146:$E$153</definedName>
    <definedName name="OBJ_NOM">TABLAS!$B$158:$B$162</definedName>
    <definedName name="OBJ_R">TABLAS!$C$158:$C$162</definedName>
    <definedName name="OBJ_REF">TABLAS!$D$158:$D$162</definedName>
    <definedName name="LAM_N">TABLAS!$B$168:$B$177</definedName>
    <definedName name="LAM_L">TABLAS!$C$168:$C$177</definedName>
    <definedName name="LAMQ_N">TABLAS!$B$181:$B$189</definedName>
    <definedName name="LAMQ_L">TABLAS!$C$181:$C$189</definedName>
    <definedName name="T17_HASTA">TABLAS!$B$195:$B$202</definedName>
    <definedName name="T17_SEC">TABLAS!$C$195:$C$202</definedName>
    <definedName name="FM_NOM">TABLAS!$B$207:$B$210</definedName>
    <definedName name="FM_VAL">TABLAS!$C$207:$C$210</definedName>
    <definedName name="LUM_NOM">TABLAS!$B$216:$B$227</definedName>
    <definedName name="LUM_DIS">TABLAS!$C$216:$C$227</definedName>
    <definedName name="LUM_FLU">TABLAS!$D$216:$D$227</definedName>
    <definedName name="LUM_W">TABLAS!$E$216:$E$227</definedName>
    <definedName name="LUM_RA">TABLAS!$F$216:$F$227</definedName>
    <definedName name="CU_TAB">TABLAS!$C$233:$O$252</definedName>
    <definedName name="CU_K">TABLAS!$C$253:$O$253</definedName>
    <definedName name="REFL_NOM">TABLAS!$B$259:$B$268</definedName>
    <definedName name="EM_NOM">TABLAS!$B$274:$B$561</definedName>
    <definedName name="EM_E">TABLAS!$C$274:$C$561</definedName>
    <definedName name="EM_UGR">TABLAS!$D$274:$D$561</definedName>
    <definedName name="EM_UO">TABLAS!$E$274:$E$561</definedName>
    <definedName name="EM_RA">TABLAS!$F$274:$F$561</definedName>
    <definedName name="EM_KEY">TABLAS!$R$274:$R$561</definedName>
    <definedName name="EM_S1">TABLAS!$B$274:$B$288</definedName>
    <definedName name="EM_S2">TABLAS!$B$289:$B$316</definedName>
    <definedName name="EM_S3">TABLAS!$B$317:$B$361</definedName>
    <definedName name="EM_S4">TABLAS!$B$362:$B$496</definedName>
    <definedName name="EM_S5">TABLAS!$B$497:$B$524</definedName>
    <definedName name="EM_S6">TABLAS!$B$525:$B$529</definedName>
    <definedName name="EM_S7">TABLAS!$B$530:$B$534</definedName>
    <definedName name="EM_S8">TABLAS!$B$535:$B$536</definedName>
    <definedName name="EM_S9">TABLAS!$B$537:$B$556</definedName>
    <definedName name="EM_S10">TABLAS!$B$557:$B$561</definedName>
    <definedName name="EM_SEC">TABLAS!$B$566:$B$575</definedName>
    <definedName name="EM_SECMAP">TABLAS!$B$566:$C$575</definedName>
    <definedName name="_xlnm.Print_Area" localSheetId="0">'INICIO'!$A$1:$D$44</definedName>
    <definedName name="_xlnm.Print_Area" localSheetId="1">'POZO_TIERRA'!$A$1:$H$121</definedName>
    <definedName name="_xlnm.Print_Area" localSheetId="2">'ILUMINACION'!$A$1:$H$101</definedName>
    <definedName name="_xlnm.Print_Titles" localSheetId="3">'ILUM_AMBIENTES'!$13:$13</definedName>
    <definedName name="_xlnm.Print_Area" localSheetId="3">'ILUM_AMBIENTES'!$A$1:$T$42</definedName>
    <definedName name="_xlnm.Print_Area" localSheetId="4">'CAIDA_TENSION'!$A$1:$H$106</definedName>
    <definedName name="_xlnm.Print_Titles" localSheetId="5">'CIRCUITOS'!$14:$14</definedName>
    <definedName name="_xlnm.Print_Area" localSheetId="5">'CIRCUITOS'!$A$1:$T$42</definedName>
    <definedName name="_xlnm.Print_Area" localSheetId="6">'TABLAS'!$A$1:$P$578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"/>
    <numFmt numFmtId="165" formatCode="0.0000"/>
    <numFmt numFmtId="166" formatCode="yyyy-mm-dd"/>
    <numFmt numFmtId="167" formatCode="dd/mm/yyyy"/>
    <numFmt numFmtId="168" formatCode="0.0%"/>
    <numFmt numFmtId="169" formatCode="0.000"/>
  </numFmts>
  <fonts count="17">
    <font>
      <name val="Times New Roman"/>
      <sz val="10"/>
    </font>
    <font>
      <name val="Times New Roman"/>
      <b val="1"/>
      <color rgb="000A2457"/>
      <sz val="12"/>
    </font>
    <font>
      <name val="Times New Roman"/>
      <i val="1"/>
      <color rgb="00566070"/>
      <sz val="8"/>
    </font>
    <font>
      <name val="Times New Roman"/>
      <b val="1"/>
      <color rgb="000A2457"/>
      <sz val="9"/>
    </font>
    <font>
      <name val="Times New Roman"/>
      <b val="1"/>
      <color rgb="00FFFFFF"/>
      <sz val="9"/>
    </font>
    <font>
      <name val="Times New Roman"/>
      <color rgb="000E1116"/>
      <sz val="9"/>
    </font>
    <font>
      <name val="Times New Roman"/>
      <color rgb="009AA5B5"/>
      <sz val="7"/>
    </font>
    <font>
      <name val="Times New Roman"/>
      <b val="1"/>
      <color rgb="00FFFFFF"/>
      <sz val="18"/>
    </font>
    <font>
      <name val="Times New Roman"/>
      <color rgb="00FFFFFF"/>
      <sz val="9"/>
    </font>
    <font>
      <name val="Times New Roman"/>
      <b val="1"/>
      <color rgb="000E1116"/>
      <sz val="9"/>
    </font>
    <font>
      <name val="Times New Roman"/>
      <b val="1"/>
      <color rgb="000000FF"/>
      <sz val="9"/>
    </font>
    <font>
      <name val="Times New Roman"/>
      <b val="1"/>
      <color rgb="002F7DF6"/>
      <sz val="9"/>
      <u val="single"/>
    </font>
    <font>
      <name val="Times New Roman"/>
      <i val="1"/>
      <color rgb="009A5B00"/>
      <sz val="8"/>
    </font>
    <font>
      <name val="Times New Roman"/>
      <b val="1"/>
      <color rgb="00FFFFFF"/>
      <sz val="12"/>
    </font>
    <font>
      <name val="Times New Roman"/>
      <color rgb="00FFFFFF"/>
      <sz val="8"/>
    </font>
    <font>
      <name val="Times New Roman"/>
      <i val="1"/>
      <color rgb="000E1116"/>
      <sz val="9"/>
    </font>
    <font>
      <name val="Times New Roman"/>
      <b val="1"/>
      <color rgb="000A2457"/>
      <sz val="10"/>
    </font>
  </fonts>
  <fills count="9">
    <fill>
      <patternFill/>
    </fill>
    <fill>
      <patternFill patternType="gray125"/>
    </fill>
    <fill>
      <patternFill patternType="solid">
        <fgColor rgb="000A2457"/>
      </patternFill>
    </fill>
    <fill>
      <patternFill patternType="solid">
        <fgColor rgb="002F7DF6"/>
      </patternFill>
    </fill>
    <fill>
      <patternFill patternType="solid">
        <fgColor rgb="00FFF4C2"/>
      </patternFill>
    </fill>
    <fill>
      <patternFill patternType="solid">
        <fgColor rgb="00EEF1F5"/>
      </patternFill>
    </fill>
    <fill>
      <patternFill patternType="solid">
        <fgColor rgb="00DCE8FD"/>
      </patternFill>
    </fill>
    <fill>
      <patternFill patternType="solid">
        <fgColor rgb="00FFF1D6"/>
      </patternFill>
    </fill>
    <fill>
      <patternFill patternType="solid">
        <fgColor rgb="00E3EDFE"/>
      </patternFill>
    </fill>
  </fills>
  <borders count="7">
    <border>
      <left/>
      <right/>
      <top/>
      <bottom/>
      <diagonal/>
    </border>
    <border>
      <left style="thin">
        <color rgb="00D5DBE4"/>
      </left>
      <right style="thin">
        <color rgb="00D5DBE4"/>
      </right>
      <top style="thin">
        <color rgb="00D5DBE4"/>
      </top>
      <bottom style="thin">
        <color rgb="00D5DBE4"/>
      </bottom>
    </border>
    <border>
      <left/>
      <right/>
      <top style="thin">
        <color rgb="00D5DBE4"/>
      </top>
      <bottom/>
      <diagonal/>
    </border>
    <border>
      <left/>
      <right style="thin">
        <color rgb="00D5DBE4"/>
      </right>
      <top style="thin">
        <color rgb="00D5DBE4"/>
      </top>
      <bottom/>
      <diagonal/>
    </border>
    <border>
      <left/>
      <right/>
      <top style="thin">
        <color rgb="00D5DBE4"/>
      </top>
      <bottom style="thin">
        <color rgb="00D5DBE4"/>
      </bottom>
      <diagonal/>
    </border>
    <border>
      <left/>
      <right style="thin">
        <color rgb="00D5DBE4"/>
      </right>
      <top style="thin">
        <color rgb="00D5DBE4"/>
      </top>
      <bottom style="thin">
        <color rgb="00D5DBE4"/>
      </bottom>
      <diagonal/>
    </border>
    <border>
      <bottom style="thin">
        <color rgb="00D5DBE4"/>
      </bottom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7" fillId="2" borderId="0" applyAlignment="1" pivotButton="0" quotePrefix="0" xfId="0">
      <alignment horizontal="left" vertical="center" indent="1"/>
    </xf>
    <xf numFmtId="0" fontId="8" fillId="3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9" fillId="0" borderId="0" pivotButton="0" quotePrefix="0" xfId="0"/>
    <xf numFmtId="0" fontId="10" fillId="4" borderId="1" applyAlignment="1" applyProtection="1" pivotButton="0" quotePrefix="0" xfId="0">
      <alignment horizontal="left" vertical="center"/>
      <protection locked="0" hidden="0"/>
    </xf>
    <xf numFmtId="167" fontId="10" fillId="4" borderId="1" applyAlignment="1" applyProtection="1" pivotButton="0" quotePrefix="0" xfId="0">
      <alignment horizontal="left" vertical="center"/>
      <protection locked="0" hidden="0"/>
    </xf>
    <xf numFmtId="0" fontId="11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 wrapText="1"/>
    </xf>
    <xf numFmtId="0" fontId="10" fillId="4" borderId="1" pivotButton="0" quotePrefix="0" xfId="0"/>
    <xf numFmtId="0" fontId="9" fillId="5" borderId="1" pivotButton="0" quotePrefix="0" xfId="0"/>
    <xf numFmtId="0" fontId="9" fillId="6" borderId="1" pivotButton="0" quotePrefix="0" xfId="0"/>
    <xf numFmtId="0" fontId="9" fillId="0" borderId="1" pivotButton="0" quotePrefix="0" xfId="0"/>
    <xf numFmtId="0" fontId="5" fillId="0" borderId="0" pivotButton="0" quotePrefix="0" xfId="0"/>
    <xf numFmtId="0" fontId="12" fillId="7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13" fillId="2" borderId="0" applyAlignment="1" pivotButton="0" quotePrefix="0" xfId="0">
      <alignment horizontal="left" vertical="center" indent="1"/>
    </xf>
    <xf numFmtId="0" fontId="6" fillId="0" borderId="0" pivotButton="0" quotePrefix="0" xfId="0"/>
    <xf numFmtId="0" fontId="14" fillId="3" borderId="0" applyAlignment="1" pivotButton="0" quotePrefix="0" xfId="0">
      <alignment horizontal="left" vertical="center" indent="1"/>
    </xf>
    <xf numFmtId="0" fontId="9" fillId="0" borderId="6" pivotButton="0" quotePrefix="0" xfId="0"/>
    <xf numFmtId="0" fontId="5" fillId="0" borderId="6" applyAlignment="1" pivotButton="0" quotePrefix="0" xfId="0">
      <alignment horizontal="left" vertical="center" wrapText="1"/>
    </xf>
    <xf numFmtId="0" fontId="0" fillId="0" borderId="6" pivotButton="0" quotePrefix="0" xfId="0"/>
    <xf numFmtId="0" fontId="10" fillId="4" borderId="6" applyAlignment="1" applyProtection="1" pivotButton="0" quotePrefix="0" xfId="0">
      <alignment horizontal="left" vertical="center" wrapText="1"/>
      <protection locked="0" hidden="0"/>
    </xf>
    <xf numFmtId="167" fontId="5" fillId="0" borderId="6" applyAlignment="1" pivotButton="0" quotePrefix="0" xfId="0">
      <alignment horizontal="left"/>
    </xf>
    <xf numFmtId="0" fontId="4" fillId="2" borderId="0" applyAlignment="1" pivotButton="0" quotePrefix="0" xfId="0">
      <alignment horizontal="left" vertical="center" indent="1"/>
    </xf>
    <xf numFmtId="0" fontId="15" fillId="0" borderId="0" applyAlignment="1" pivotButton="0" quotePrefix="0" xfId="0">
      <alignment horizontal="center" vertical="center" wrapText="1"/>
    </xf>
    <xf numFmtId="0" fontId="10" fillId="4" borderId="1" applyAlignment="1" applyProtection="1" pivotButton="0" quotePrefix="0" xfId="0">
      <alignment horizontal="left" vertical="center" wrapText="1" indent="1"/>
      <protection locked="0" hidden="0"/>
    </xf>
    <xf numFmtId="0" fontId="0" fillId="0" borderId="1" applyProtection="1" pivotButton="0" quotePrefix="0" xfId="0">
      <protection locked="0" hidden="0"/>
    </xf>
    <xf numFmtId="2" fontId="10" fillId="4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5" borderId="1" applyAlignment="1" pivotButton="0" quotePrefix="0" xfId="0">
      <alignment horizontal="center" vertical="center" wrapText="1"/>
    </xf>
    <xf numFmtId="164" fontId="9" fillId="5" borderId="1" applyAlignment="1" pivotButton="0" quotePrefix="0" xfId="0">
      <alignment horizontal="center" vertical="center" wrapText="1"/>
    </xf>
    <xf numFmtId="1" fontId="9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 indent="1"/>
    </xf>
    <xf numFmtId="0" fontId="0" fillId="0" borderId="1" pivotButton="0" quotePrefix="0" xfId="0"/>
    <xf numFmtId="0" fontId="9" fillId="0" borderId="0" applyAlignment="1" pivotButton="0" quotePrefix="0" xfId="0">
      <alignment horizontal="left" vertical="center" wrapText="1"/>
    </xf>
    <xf numFmtId="164" fontId="9" fillId="6" borderId="1" applyAlignment="1" pivotButton="0" quotePrefix="0" xfId="0">
      <alignment horizontal="center" vertical="center" wrapText="1"/>
    </xf>
    <xf numFmtId="165" fontId="9" fillId="5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shrinkToFit="1"/>
    </xf>
    <xf numFmtId="2" fontId="9" fillId="5" borderId="1" applyAlignment="1" pivotButton="0" quotePrefix="0" xfId="0">
      <alignment horizontal="center" vertical="center" wrapText="1"/>
    </xf>
    <xf numFmtId="2" fontId="9" fillId="6" borderId="1" applyAlignment="1" pivotButton="0" quotePrefix="0" xfId="0">
      <alignment horizontal="center" vertical="center" wrapText="1"/>
    </xf>
    <xf numFmtId="168" fontId="9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2" fontId="5" fillId="5" borderId="1" applyAlignment="1" pivotButton="0" quotePrefix="0" xfId="0">
      <alignment horizontal="center" vertical="center" wrapText="1"/>
    </xf>
    <xf numFmtId="169" fontId="5" fillId="5" borderId="1" applyAlignment="1" pivotButton="0" quotePrefix="0" xfId="0">
      <alignment horizontal="center" vertical="center" wrapText="1"/>
    </xf>
    <xf numFmtId="1" fontId="9" fillId="6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left" vertical="center" wrapText="1" indent="1"/>
    </xf>
    <xf numFmtId="2" fontId="6" fillId="0" borderId="0" pivotButton="0" quotePrefix="0" xfId="0"/>
    <xf numFmtId="164" fontId="10" fillId="4" borderId="1" applyAlignment="1" applyProtection="1" pivotButton="0" quotePrefix="0" xfId="0">
      <alignment horizontal="center" vertical="center" wrapText="1"/>
      <protection locked="0" hidden="0"/>
    </xf>
    <xf numFmtId="1" fontId="10" fillId="4" borderId="1" applyAlignment="1" applyProtection="1" pivotButton="0" quotePrefix="0" xfId="0">
      <alignment horizontal="center" vertical="center" wrapText="1"/>
      <protection locked="0" hidden="0"/>
    </xf>
    <xf numFmtId="169" fontId="6" fillId="0" borderId="0" pivotButton="0" quotePrefix="0" xfId="0"/>
    <xf numFmtId="0" fontId="5" fillId="0" borderId="6" applyAlignment="1" pivotButton="0" quotePrefix="0" xfId="0">
      <alignment horizontal="left"/>
    </xf>
    <xf numFmtId="0" fontId="10" fillId="4" borderId="1" applyAlignment="1" applyProtection="1" pivotButton="0" quotePrefix="0" xfId="0">
      <alignment horizontal="center" vertical="center" wrapText="1"/>
      <protection locked="0" hidden="0"/>
    </xf>
    <xf numFmtId="0" fontId="10" fillId="4" borderId="1" applyAlignment="1" applyProtection="1" pivotButton="0" quotePrefix="0" xfId="0">
      <alignment horizontal="left" vertical="center" wrapText="1"/>
      <protection locked="0" hidden="0"/>
    </xf>
    <xf numFmtId="1" fontId="5" fillId="5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right" vertical="center"/>
    </xf>
    <xf numFmtId="3" fontId="9" fillId="5" borderId="1" applyAlignment="1" pivotButton="0" quotePrefix="0" xfId="0">
      <alignment horizontal="center" vertical="center" wrapText="1"/>
    </xf>
    <xf numFmtId="3" fontId="10" fillId="4" borderId="1" applyAlignment="1" applyProtection="1" pivotButton="0" quotePrefix="0" xfId="0">
      <alignment horizontal="center" vertical="center" wrapText="1"/>
      <protection locked="0" hidden="0"/>
    </xf>
    <xf numFmtId="165" fontId="10" fillId="4" borderId="1" applyAlignment="1" applyProtection="1" pivotButton="0" quotePrefix="0" xfId="0">
      <alignment horizontal="center" vertical="center" wrapText="1"/>
      <protection locked="0" hidden="0"/>
    </xf>
    <xf numFmtId="169" fontId="10" fillId="4" borderId="1" applyAlignment="1" applyProtection="1" pivotButton="0" quotePrefix="0" xfId="0">
      <alignment horizontal="center" vertical="center" wrapText="1"/>
      <protection locked="0" hidden="0"/>
    </xf>
    <xf numFmtId="169" fontId="9" fillId="5" borderId="1" applyAlignment="1" pivotButton="0" quotePrefix="0" xfId="0">
      <alignment horizontal="center" vertical="center" wrapText="1"/>
    </xf>
    <xf numFmtId="10" fontId="9" fillId="6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1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1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0" borderId="0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ont>
        <name val="Times New Roman"/>
        <b val="1"/>
        <color rgb="00B42318"/>
      </font>
      <fill>
        <patternFill patternType="solid">
          <fgColor rgb="00FDE2E1"/>
        </patternFill>
      </fill>
    </dxf>
    <dxf>
      <font>
        <name val="Times New Roman"/>
        <b val="1"/>
        <color rgb="009A5B00"/>
      </font>
      <fill>
        <patternFill patternType="solid">
          <fgColor rgb="00FFF1D6"/>
        </patternFill>
      </fill>
    </dxf>
    <dxf>
      <font>
        <name val="Times New Roman"/>
        <b val="1"/>
        <color rgb="001E8A5A"/>
      </font>
      <fill>
        <patternFill patternType="solid">
          <fgColor rgb="00DDF3E8"/>
        </patternFill>
      </fill>
    </dxf>
    <dxf>
      <fill>
        <patternFill patternType="solid">
          <fgColor rgb="00DCE8F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plotArea>
      <scatterChart>
        <ser>
          <idx val="0"/>
          <order val="0"/>
          <tx>
            <v>Dirección 1</v>
          </tx>
          <spPr>
            <a:ln xmlns:a="http://schemas.openxmlformats.org/drawingml/2006/main" w="15000">
              <a:solidFill>
                <a:srgbClr val="2F7DF6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2F7DF6"/>
              </a:solidFill>
              <a:ln xmlns:a="http://schemas.openxmlformats.org/drawingml/2006/main">
                <a:solidFill>
                  <a:srgbClr val="2F7DF6"/>
                </a:solidFill>
                <a:prstDash val="solid"/>
              </a:ln>
            </spPr>
          </marker>
          <xVal>
            <numRef>
              <f>'POZO_TIERRA'!$C$15:$C$22</f>
            </numRef>
          </xVal>
          <yVal>
            <numRef>
              <f>'POZO_TIERRA'!$F$15:$F$22</f>
            </numRef>
          </yVal>
          <smooth val="0"/>
        </ser>
        <ser>
          <idx val="1"/>
          <order val="1"/>
          <tx>
            <v>Dirección 2</v>
          </tx>
          <spPr>
            <a:ln xmlns:a="http://schemas.openxmlformats.org/drawingml/2006/main" w="15000">
              <a:solidFill>
                <a:srgbClr val="C77700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C77700"/>
              </a:solidFill>
              <a:ln xmlns:a="http://schemas.openxmlformats.org/drawingml/2006/main">
                <a:solidFill>
                  <a:srgbClr val="C77700"/>
                </a:solidFill>
                <a:prstDash val="solid"/>
              </a:ln>
            </spPr>
          </marker>
          <xVal>
            <numRef>
              <f>'POZO_TIERRA'!$C$15:$C$22</f>
            </numRef>
          </xVal>
          <yVal>
            <numRef>
              <f>'POZO_TIERRA'!$G$15:$G$22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800" b="1">
                    <a:latin typeface="Times New Roman"/>
                  </a:defRPr>
                </a:pPr>
                <a:r>
                  <a:rPr sz="800" b="1">
                    <a:latin typeface="Times New Roman"/>
                  </a:rPr>
                  <a:t>Separación entre picas a (m)</a:t>
                </a:r>
              </a:p>
            </rich>
          </tx>
          <overlay val="0"/>
        </title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 b="0">
                <a:latin typeface="Times New Roman"/>
              </a:defRPr>
            </a:pPr>
            <a:r>
              <a:t/>
            </a:r>
            <a:endParaRPr sz="800" b="0">
              <a:latin typeface="Times New Roman"/>
            </a:endParaRPr>
          </a:p>
        </txPr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800" b="1">
                    <a:latin typeface="Times New Roman"/>
                  </a:defRPr>
                </a:pPr>
                <a:r>
                  <a:rPr sz="800" b="1">
                    <a:latin typeface="Times New Roman"/>
                  </a:rPr>
                  <a:t>ρ aparente (Ω·m)</a:t>
                </a:r>
              </a:p>
            </rich>
          </tx>
          <overlay val="0"/>
        </title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 b="0">
                <a:latin typeface="Times New Roman"/>
              </a:defRPr>
            </a:pPr>
            <a:r>
              <a:t/>
            </a:r>
            <a:endParaRPr sz="800" b="0">
              <a:latin typeface="Times New Roman"/>
            </a:endParaRPr>
          </a:p>
        </txPr>
        <crossAx val="10"/>
      </valAx>
    </plotArea>
    <legend>
      <legendPos val="b"/>
      <txPr>
        <a:bodyPr xmlns:a="http://schemas.openxmlformats.org/drawingml/2006/main"/>
        <a:p xmlns:a="http://schemas.openxmlformats.org/drawingml/2006/main">
          <a:pPr>
            <a:defRPr sz="800" b="0">
              <a:latin typeface="Times New Roman"/>
            </a:defRPr>
          </a:pPr>
          <a:r>
            <a:t/>
          </a:r>
          <a:endParaRPr sz="800" b="0">
            <a:latin typeface="Times New Roman"/>
          </a:endParaRP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plotArea>
      <scatterChart>
        <ser>
          <idx val="0"/>
          <order val="0"/>
          <spPr>
            <a:ln xmlns:a="http://schemas.openxmlformats.org/drawingml/2006/main" w="25000">
              <a:solidFill>
                <a:srgbClr val="0A245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'ILUMINACION'!$M$345:$M$349</f>
            </numRef>
          </xVal>
          <yVal>
            <numRef>
              <f>'ILUMINACION'!$N$345:$N$349</f>
            </numRef>
          </yVal>
          <smooth val="0"/>
        </ser>
        <ser>
          <idx val="1"/>
          <order val="1"/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F5B400"/>
              </a:solidFill>
              <a:ln xmlns:a="http://schemas.openxmlformats.org/drawingml/2006/main">
                <a:solidFill>
                  <a:srgbClr val="8A6A00"/>
                </a:solidFill>
                <a:prstDash val="solid"/>
              </a:ln>
            </spPr>
          </marker>
          <xVal>
            <numRef>
              <f>'ILUMINACION'!$K$119:$K$343</f>
            </numRef>
          </xVal>
          <yVal>
            <numRef>
              <f>'ILUMINACION'!$L$119:$L$343</f>
            </numRef>
          </yVal>
          <smooth val="0"/>
        </ser>
        <ser>
          <idx val="2"/>
          <order val="2"/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'ILUMINACION'!$M$351:$M$352</f>
            </numRef>
          </xVal>
          <yVal>
            <numRef>
              <f>'ILUMINACION'!$N$351:$N$352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800" b="1">
                    <a:latin typeface="Times New Roman"/>
                  </a:defRPr>
                </a:pPr>
                <a:r>
                  <a:rPr sz="800" b="1">
                    <a:latin typeface="Times New Roman"/>
                  </a:rPr>
                  <a:t>Largo a (m)</a:t>
                </a:r>
              </a:p>
            </rich>
          </tx>
          <overlay val="0"/>
        </title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 b="0">
                <a:latin typeface="Times New Roman"/>
              </a:defRPr>
            </a:pPr>
            <a:r>
              <a:t/>
            </a:r>
            <a:endParaRPr sz="800" b="0">
              <a:latin typeface="Times New Roman"/>
            </a:endParaRPr>
          </a:p>
        </txPr>
        <crossAx val="20"/>
      </valAx>
      <valAx>
        <axId val="2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800" b="1">
                    <a:latin typeface="Times New Roman"/>
                  </a:defRPr>
                </a:pPr>
                <a:r>
                  <a:rPr sz="800" b="1">
                    <a:latin typeface="Times New Roman"/>
                  </a:rPr>
                  <a:t>Ancho b (m)</a:t>
                </a:r>
              </a:p>
            </rich>
          </tx>
          <overlay val="0"/>
        </title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 b="0">
                <a:latin typeface="Times New Roman"/>
              </a:defRPr>
            </a:pPr>
            <a:r>
              <a:t/>
            </a:r>
            <a:endParaRPr sz="800" b="0">
              <a:latin typeface="Times New Roman"/>
            </a:endParaRPr>
          </a:p>
        </txPr>
        <crossAx val="10"/>
      </valAx>
    </plotArea>
    <plotVisOnly val="0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23</row>
      <rowOff>0</rowOff>
    </from>
    <ext cx="5940000" cy="223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2</col>
      <colOff>0</colOff>
      <row>78</row>
      <rowOff>0</rowOff>
    </from>
    <ext cx="396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Times New Roman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Times New Roman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0A2457"/>
    <outlinePr summaryBelow="1" summaryRight="1"/>
    <pageSetUpPr fitToPage="1"/>
  </sheetPr>
  <dimension ref="B2:D44"/>
  <sheetViews>
    <sheetView showGridLines="0" tabSelected="1" workbookViewId="0">
      <selection activeCell="A1" sqref="A1"/>
    </sheetView>
  </sheetViews>
  <sheetFormatPr baseColWidth="8" defaultRowHeight="15"/>
  <cols>
    <col width="1.5" customWidth="1" min="1" max="1"/>
    <col width="27" customWidth="1" min="2" max="2"/>
    <col width="2" customWidth="1" min="3" max="3"/>
    <col width="74" customWidth="1" min="4" max="4"/>
    <col width="3" customWidth="1" min="5" max="5"/>
  </cols>
  <sheetData>
    <row r="2" ht="36" customHeight="1">
      <c r="B2" s="1" t="inlineStr">
        <is>
          <t>CALCULADORAS IIEE ALF</t>
        </is>
      </c>
    </row>
    <row r="3" ht="18" customHeight="1">
      <c r="B3" s="2" t="inlineStr">
        <is>
          <t>Pozo a tierra (Wenner) · Iluminación EM.010-2019 · Caída de tensión y sección de conductor (CNE-U) · v1.0.0</t>
        </is>
      </c>
    </row>
    <row r="4">
      <c r="B4" s="3" t="inlineStr">
        <is>
          <t>ALF_BIM · www.alfbim.com · Herramienta gratuita</t>
        </is>
      </c>
    </row>
    <row r="6">
      <c r="B6" s="4" t="inlineStr">
        <is>
          <t>DATOS DEL PROYECTO (aparecen en el encabezado de cada reporte)</t>
        </is>
      </c>
    </row>
    <row r="7">
      <c r="B7" s="5" t="inlineStr">
        <is>
          <t>Proyecto</t>
        </is>
      </c>
      <c r="D7" s="6" t="inlineStr">
        <is>
          <t>EDIFICIO DE VIVIENDA Y OFICINAS DE 4 NIVELES (EJEMPLO)</t>
        </is>
      </c>
    </row>
    <row r="8">
      <c r="B8" s="5" t="inlineStr">
        <is>
          <t>Propietario</t>
        </is>
      </c>
      <c r="D8" s="6" t="inlineStr">
        <is>
          <t>—</t>
        </is>
      </c>
    </row>
    <row r="9">
      <c r="B9" s="5" t="inlineStr">
        <is>
          <t>Ubicación</t>
        </is>
      </c>
      <c r="D9" s="6" t="inlineStr">
        <is>
          <t>Chota, Cajamarca</t>
        </is>
      </c>
    </row>
    <row r="10">
      <c r="B10" s="5" t="inlineStr">
        <is>
          <t>Proyectista</t>
        </is>
      </c>
      <c r="D10" s="6" t="inlineStr">
        <is>
          <t xml:space="preserve">Ing. </t>
        </is>
      </c>
    </row>
    <row r="11">
      <c r="B11" s="5" t="inlineStr">
        <is>
          <t>CIP</t>
        </is>
      </c>
      <c r="D11" s="6" t="inlineStr"/>
    </row>
    <row r="12">
      <c r="B12" s="5" t="inlineStr">
        <is>
          <t>Fecha</t>
        </is>
      </c>
      <c r="D12" s="7" t="n">
        <v>46317</v>
      </c>
    </row>
    <row r="14">
      <c r="B14" s="4" t="inlineStr">
        <is>
          <t>HOJAS DE CÁLCULO</t>
        </is>
      </c>
    </row>
    <row r="15" ht="54" customHeight="1">
      <c r="B15" s="8">
        <f>HYPERLINK("#'POZO_TIERRA'!A1","→  POZO_TIERRA")</f>
        <v/>
      </c>
      <c r="D15" s="9" t="inlineStr">
        <is>
          <t>Pozo a tierra: resistividad por el método de Wenner (hasta 8 lecturas en dos direcciones), resistividad de diseño, verificación de la varilla (CNE-U 060-702), resistencia de un pozo con relleno tratado, número de pozos para la resistencia objetivo (060-712, BS 7430), comparación de tratamientos y metrado del relleno.</t>
        </is>
      </c>
    </row>
    <row r="16" ht="40.5" customHeight="1">
      <c r="B16" s="8">
        <f>HYPERLINK("#'ILUMINACION'!A1","→  ILUMINACION")</f>
        <v/>
      </c>
      <c r="D16" s="9" t="inlineStr">
        <is>
          <t>Iluminación de un ambiente por el método de los lúmenes con los requisitos de la EM.010-2019 (Em, UGRL, Uo, Ra): índice del local, CU, factor de mantenimiento, número y distribución de luminarias, verificación de Em, de la separación y del Ra, potencia y W/m², y plano de distribución.</t>
        </is>
      </c>
    </row>
    <row r="17" ht="27" customHeight="1">
      <c r="B17" s="8">
        <f>HYPERLINK("#'ILUM_AMBIENTES'!A1","→  ILUM_AMBIENTES")</f>
        <v/>
      </c>
      <c r="D17" s="9" t="inlineStr">
        <is>
          <t>Cuadro de iluminación de hasta 25 ambientes de un proyecto (listas de la EM.010-2019 y catálogo de luminarias).</t>
        </is>
      </c>
    </row>
    <row r="18" ht="40.5" customHeight="1">
      <c r="B18" s="8">
        <f>HYPERLINK("#'CAIDA_TENSION'!A1","→  CAIDA_TENSION")</f>
        <v/>
      </c>
      <c r="D18" s="9" t="inlineStr">
        <is>
          <t>Caída de tensión y sección de un conductor: corriente, ITM, capacidad (Tabla 2, 5A y 5C), sección por caída (050-102), sección adoptada, longitud máxima, conductor de protección, tubería y tabla de verificación.</t>
        </is>
      </c>
    </row>
    <row r="19" ht="27" customHeight="1">
      <c r="B19" s="8">
        <f>HYPERLINK("#'CIRCUITOS'!A1","→  CIRCUITOS")</f>
        <v/>
      </c>
      <c r="D19" s="9" t="inlineStr">
        <is>
          <t>Cuadro de hasta 25 alimentadores y circuitos con su ITM, sección, caída parcial y acumulada (límite de 4 %).</t>
        </is>
      </c>
    </row>
    <row r="20" ht="13.5" customHeight="1">
      <c r="B20" s="8">
        <f>HYPERLINK("#'TABLAS'!A1","→  TABLAS")</f>
        <v/>
      </c>
      <c r="D20" s="9" t="inlineStr">
        <is>
          <t>Tablas del CNE-U, EM.010, BS 7430, rellenos de pozo, luminarias y CU (con su fuente).</t>
        </is>
      </c>
    </row>
    <row r="22">
      <c r="B22" s="4" t="inlineStr">
        <is>
          <t>CÓMO SE USA</t>
        </is>
      </c>
    </row>
    <row r="23">
      <c r="B23" s="10" t="inlineStr">
        <is>
          <t>Celda amarilla con texto azul</t>
        </is>
      </c>
      <c r="D23" s="9" t="inlineStr">
        <is>
          <t>Dato que usted ingresa (o elige de la lista desplegable).</t>
        </is>
      </c>
    </row>
    <row r="24">
      <c r="B24" s="11" t="inlineStr">
        <is>
          <t>Celda gris con texto negro</t>
        </is>
      </c>
      <c r="D24" s="9" t="inlineStr">
        <is>
          <t>Resultado calculado. No se modifica.</t>
        </is>
      </c>
    </row>
    <row r="25">
      <c r="B25" s="12" t="inlineStr">
        <is>
          <t>Celda celeste</t>
        </is>
      </c>
      <c r="D25" s="9" t="inlineStr">
        <is>
          <t>Resultado principal de la hoja.</t>
        </is>
      </c>
    </row>
    <row r="26">
      <c r="B26" s="13" t="inlineStr">
        <is>
          <t>CUMPLE / NO CUMPLE / AVISO</t>
        </is>
      </c>
      <c r="D26" s="9" t="inlineStr">
        <is>
          <t>Verificación con la norma o con un criterio indicado en la nota de la fila.</t>
        </is>
      </c>
    </row>
    <row r="27">
      <c r="B27" s="13" t="inlineStr">
        <is>
          <t>Celdas opcionales</t>
        </is>
      </c>
      <c r="D27" s="9" t="inlineStr">
        <is>
          <t>Si se dejan vacías se usa el valor de la norma o del catálogo; si se llenan, mandan.</t>
        </is>
      </c>
    </row>
    <row r="28">
      <c r="B28" s="13" t="inlineStr">
        <is>
          <t>Protección</t>
        </is>
      </c>
      <c r="D28" s="9" t="inlineStr">
        <is>
          <t>Las hojas están protegidas SIN contraseña (Revisar &gt; Desproteger hoja) para no borrar fórmulas por error.</t>
        </is>
      </c>
    </row>
    <row r="30">
      <c r="B30" s="4" t="inlineStr">
        <is>
          <t>REPORTE EN PDF</t>
        </is>
      </c>
    </row>
    <row r="31">
      <c r="B31" s="14" t="inlineStr">
        <is>
          <t>1. Llene los datos del proyecto arriba y los de la hoja que va a imprimir.</t>
        </is>
      </c>
    </row>
    <row r="32">
      <c r="B32" s="14" t="inlineStr">
        <is>
          <t>2. Archivo → Exportar → Crear documento PDF/XPS (o Archivo → Imprimir → Microsoft Print to PDF).</t>
        </is>
      </c>
    </row>
    <row r="33">
      <c r="B33" s="14" t="inlineStr">
        <is>
          <t>3. Cada hoja ya está en A4, ajustada al ancho, con encabezado, número de página y pie de ALF_BIM.</t>
        </is>
      </c>
    </row>
    <row r="34">
      <c r="B34" s="14" t="inlineStr">
        <is>
          <t>4. Para un solo PDF con varias hojas: seleccione las pestañas con Ctrl + clic antes de exportar.</t>
        </is>
      </c>
    </row>
    <row r="36">
      <c r="B36" s="4" t="inlineStr">
        <is>
          <t>NORMAS Y CRITERIOS</t>
        </is>
      </c>
    </row>
    <row r="37" ht="39" customHeight="1">
      <c r="B37" s="9" t="inlineStr">
        <is>
          <t>CNE-Utilización 2006 (R.M. 037-2006-MEM/DM, mod. R.M. 175-2008-MEM/DM): Regla 050-102 (caída de tensión: 2.5 % alimentador, 2.5 % derivado, 4 % total), Tabla 2 (capacidad de corriente, Cu PVC 70 °C), Tablas 5A y 5C (factores), Regla 030-002 (sección mínima), Reglas 060-702 y 060-712 (electrodos de puesta a tierra, ≤ 25 Ω).</t>
        </is>
      </c>
    </row>
    <row r="38" ht="39" customHeight="1">
      <c r="B38" s="9" t="inlineStr">
        <is>
          <t>NTE EM.010 Instalaciones Eléctricas Interiores (R.M. 083-2019-VIVIENDA): Art. 5 (definiciones), Art. 6 (requisitos de iluminación y factor de mantenimiento) y Anexo «Requisitos mínimos de iluminación» (Em, UGRL, Uo, Ra). Reemplazó la tabla de iluminancias de 2006 (con calidad A–E) que todavía usan muchas plantillas.</t>
        </is>
      </c>
    </row>
    <row r="39" ht="26" customHeight="1">
      <c r="B39" s="9" t="inlineStr">
        <is>
          <t>IEEE Std 81 (método de Wenner), IEEE Std 80 (resistencia de varilla y de electrodo con relleno), BS 7430:1998 (varillas en paralelo), IEC 60364-5-54 (conductor de protección).</t>
        </is>
      </c>
    </row>
    <row r="40" ht="13" customHeight="1">
      <c r="B40" s="9" t="inlineStr">
        <is>
          <t>Las tablas de conductores son las mismas de MaximaDemandaALF (ALF-13), cotejadas con el texto oficial del CNE-U.</t>
        </is>
      </c>
    </row>
    <row r="42" ht="36" customHeight="1">
      <c r="B42" s="15" t="inlineStr">
        <is>
          <t>AVISO: esta es una herramienta gratuita de apoyo al cálculo. En el Perú, los planos y memorias de instalaciones eléctricas los firma un ingeniero electricista o mecánico electricista colegiado, que debe revisar los datos y los resultados. ALF_BIM no se responsabiliza por el uso que se dé a los resultados.</t>
        </is>
      </c>
    </row>
    <row r="44" ht="26" customHeight="1">
      <c r="B44" s="16" t="inlineStr">
        <is>
          <t>¿Necesita el cuadro de cargas, la máxima demanda y la memoria de IIEE completa en Word? MaximaDemandaALF. ¿Circuitos, unifilar y metrados en Revit? ElectricasALF. Más en www.alfbim.com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13">
    <mergeCell ref="B33:D33"/>
    <mergeCell ref="B42:D42"/>
    <mergeCell ref="B3:D3"/>
    <mergeCell ref="B37:D37"/>
    <mergeCell ref="B31:D31"/>
    <mergeCell ref="B32:D32"/>
    <mergeCell ref="B4:D4"/>
    <mergeCell ref="B40:D40"/>
    <mergeCell ref="B44:D44"/>
    <mergeCell ref="B39:D39"/>
    <mergeCell ref="B38:D38"/>
    <mergeCell ref="B2:D2"/>
    <mergeCell ref="B34:D34"/>
  </mergeCells>
  <printOptions horizontalCentered="1"/>
  <pageMargins left="0.5" right="0.5" top="0.6" bottom="0.6" header="0.3" footer="0.3"/>
  <pageSetup orientation="portrait" paperSize="9" fitToHeight="0" fitToWidth="1"/>
  <headerFooter>
    <oddHeader>&amp;L&amp;"Times New Roman,Regular"&amp;7 ALF_BIM · Calculadoras IIEE ALF&amp;R&amp;"Times New Roman,Regular"&amp;7 Página &amp;P de &amp;N</oddHeader>
    <oddFooter>&amp;L&amp;"Times New Roman,Regular"&amp;7 www.alfbim.com · Herramienta gratuita de apoyo. Los resultados deben ser revisados por un ingeniero electricista o mecánico electricista colegiado.&amp;R&amp;"Times New Roman,Regular"&amp;7 &amp;A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E8A5A"/>
    <outlinePr summaryBelow="1" summaryRight="1"/>
    <pageSetUpPr fitToPage="1"/>
  </sheetPr>
  <dimension ref="B1:AD121"/>
  <sheetViews>
    <sheetView showGridLines="0" tabSelected="0" zoomScale="110" workbookViewId="0">
      <selection activeCell="A1" sqref="A1"/>
    </sheetView>
  </sheetViews>
  <sheetFormatPr baseColWidth="8" defaultRowHeight="15"/>
  <cols>
    <col width="1.5" customWidth="1" min="1" max="1"/>
    <col width="40" customWidth="1" min="2" max="2"/>
    <col width="8" customWidth="1" min="3" max="3"/>
    <col width="12" customWidth="1" min="4" max="4"/>
    <col width="8" customWidth="1" min="5" max="5"/>
    <col width="11" customWidth="1" min="6" max="6"/>
    <col width="11" customWidth="1" min="7" max="7"/>
    <col width="20" customWidth="1" min="8" max="8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</cols>
  <sheetData>
    <row r="1" ht="24" customHeight="1">
      <c r="B1" s="17" t="inlineStr">
        <is>
          <t>POZO A TIERRA · RESISTIVIDAD (WENNER) Y NÚMERO DE POZOS</t>
        </is>
      </c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  <c r="AA1" s="18" t="n"/>
      <c r="AB1" s="18" t="n"/>
      <c r="AC1" s="18" t="n"/>
      <c r="AD1" s="18" t="n"/>
    </row>
    <row r="2" ht="15" customHeight="1">
      <c r="B2" s="19" t="inlineStr">
        <is>
          <t>ALF_BIM · Calculadoras IIEE ALF · CNE-U Sección 060 · IEEE 80/81 · BS 7430 · v1.0.0</t>
        </is>
      </c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8" t="n"/>
      <c r="W2" s="18" t="n"/>
      <c r="X2" s="18" t="n"/>
      <c r="Y2" s="18" t="n"/>
      <c r="Z2" s="18" t="n"/>
      <c r="AA2" s="18" t="n"/>
      <c r="AB2" s="18" t="n"/>
      <c r="AC2" s="18" t="n"/>
      <c r="AD2" s="18" t="n"/>
    </row>
    <row r="3">
      <c r="B3" s="20" t="inlineStr">
        <is>
          <t>Proyecto</t>
        </is>
      </c>
      <c r="C3" s="21">
        <f>INICIO!$D$7</f>
        <v/>
      </c>
      <c r="D3" s="22" t="n"/>
      <c r="E3" s="22" t="n"/>
      <c r="F3" s="22" t="n"/>
      <c r="G3" s="22" t="n"/>
      <c r="H3" s="22" t="n"/>
      <c r="J3" s="18" t="n"/>
      <c r="K3" s="18" t="n"/>
      <c r="L3" s="18" t="n"/>
      <c r="M3" s="18" t="n"/>
      <c r="N3" s="18" t="n"/>
      <c r="O3" s="18" t="n"/>
      <c r="P3" s="18" t="n"/>
      <c r="Q3" s="18" t="n"/>
      <c r="R3" s="18" t="n"/>
      <c r="S3" s="18" t="n"/>
      <c r="T3" s="18" t="n"/>
      <c r="U3" s="18" t="n"/>
      <c r="V3" s="18" t="n"/>
      <c r="W3" s="18" t="n"/>
      <c r="X3" s="18" t="n"/>
      <c r="Y3" s="18" t="n"/>
      <c r="Z3" s="18" t="n"/>
      <c r="AA3" s="18" t="n"/>
      <c r="AB3" s="18" t="n"/>
      <c r="AC3" s="18" t="n"/>
      <c r="AD3" s="18" t="n"/>
    </row>
    <row r="4">
      <c r="B4" s="20" t="inlineStr">
        <is>
          <t>Ubicación</t>
        </is>
      </c>
      <c r="C4" s="21">
        <f>INICIO!$D$9</f>
        <v/>
      </c>
      <c r="D4" s="22" t="n"/>
      <c r="E4" s="22" t="n"/>
      <c r="F4" s="22" t="n"/>
      <c r="G4" s="22" t="n"/>
      <c r="H4" s="22" t="n"/>
      <c r="J4" s="18" t="n"/>
      <c r="K4" s="18" t="n"/>
      <c r="L4" s="18" t="n"/>
      <c r="M4" s="18" t="n"/>
      <c r="N4" s="18" t="n"/>
      <c r="O4" s="18" t="n"/>
      <c r="P4" s="18" t="n"/>
      <c r="Q4" s="18" t="n"/>
      <c r="R4" s="18" t="n"/>
      <c r="S4" s="18" t="n"/>
      <c r="T4" s="18" t="n"/>
      <c r="U4" s="18" t="n"/>
      <c r="V4" s="18" t="n"/>
      <c r="W4" s="18" t="n"/>
      <c r="X4" s="18" t="n"/>
      <c r="Y4" s="18" t="n"/>
      <c r="Z4" s="18" t="n"/>
      <c r="AA4" s="18" t="n"/>
      <c r="AB4" s="18" t="n"/>
      <c r="AC4" s="18" t="n"/>
      <c r="AD4" s="18" t="n"/>
    </row>
    <row r="5">
      <c r="B5" s="20" t="inlineStr">
        <is>
          <t>Sistema</t>
        </is>
      </c>
      <c r="C5" s="23" t="inlineStr">
        <is>
          <t>SISTEMA DE PUESTA A TIERRA DEL TABLERO GENERAL (EJEMPLO)</t>
        </is>
      </c>
      <c r="D5" s="22" t="n"/>
      <c r="E5" s="22" t="n"/>
      <c r="F5" s="22" t="n"/>
      <c r="G5" s="22" t="n"/>
      <c r="H5" s="22" t="n"/>
      <c r="J5" s="18" t="n"/>
      <c r="K5" s="18" t="n"/>
      <c r="L5" s="18" t="n"/>
      <c r="M5" s="18" t="n"/>
      <c r="N5" s="18" t="n"/>
      <c r="O5" s="18" t="n"/>
      <c r="P5" s="18" t="n"/>
      <c r="Q5" s="18" t="n"/>
      <c r="R5" s="18" t="n"/>
      <c r="S5" s="18" t="n"/>
      <c r="T5" s="18" t="n"/>
      <c r="U5" s="18" t="n"/>
      <c r="V5" s="18" t="n"/>
      <c r="W5" s="18" t="n"/>
      <c r="X5" s="18" t="n"/>
      <c r="Y5" s="18" t="n"/>
      <c r="Z5" s="18" t="n"/>
      <c r="AA5" s="18" t="n"/>
      <c r="AB5" s="18" t="n"/>
      <c r="AC5" s="18" t="n"/>
      <c r="AD5" s="18" t="n"/>
    </row>
    <row r="6">
      <c r="B6" s="20" t="inlineStr">
        <is>
          <t>Proyectista</t>
        </is>
      </c>
      <c r="C6" s="21">
        <f>INICIO!$D$10&amp;IF(INICIO!$D$11="",""," · CIP "&amp;INICIO!$D$11)</f>
        <v/>
      </c>
      <c r="D6" s="22" t="n"/>
      <c r="E6" s="22" t="n"/>
      <c r="F6" s="22" t="n"/>
      <c r="G6" s="22" t="n"/>
      <c r="H6" s="22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8" t="n"/>
      <c r="Z6" s="18" t="n"/>
      <c r="AA6" s="18" t="n"/>
      <c r="AB6" s="18" t="n"/>
      <c r="AC6" s="18" t="n"/>
      <c r="AD6" s="18" t="n"/>
    </row>
    <row r="7">
      <c r="B7" s="20" t="inlineStr">
        <is>
          <t>Fecha</t>
        </is>
      </c>
      <c r="C7" s="24">
        <f>INICIO!$D$12</f>
        <v/>
      </c>
      <c r="D7" s="22" t="n"/>
      <c r="E7" s="22" t="n"/>
      <c r="F7" s="22" t="n"/>
      <c r="G7" s="22" t="n"/>
      <c r="H7" s="22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8" t="n"/>
      <c r="T7" s="18" t="n"/>
      <c r="U7" s="18" t="n"/>
      <c r="V7" s="18" t="n"/>
      <c r="W7" s="18" t="n"/>
      <c r="X7" s="18" t="n"/>
      <c r="Y7" s="18" t="n"/>
      <c r="Z7" s="18" t="n"/>
      <c r="AA7" s="18" t="n"/>
      <c r="AB7" s="18" t="n"/>
      <c r="AC7" s="18" t="n"/>
      <c r="AD7" s="18" t="n"/>
    </row>
    <row r="8"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  <c r="T8" s="18" t="n"/>
      <c r="U8" s="18" t="n"/>
      <c r="V8" s="18" t="n"/>
      <c r="W8" s="18" t="n"/>
      <c r="X8" s="18" t="n"/>
      <c r="Y8" s="18" t="n"/>
      <c r="Z8" s="18" t="n"/>
      <c r="AA8" s="18" t="n"/>
      <c r="AB8" s="18" t="n"/>
      <c r="AC8" s="18" t="n"/>
      <c r="AD8" s="18" t="n"/>
    </row>
    <row r="9"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</row>
    <row r="10" ht="17" customHeight="1">
      <c r="B10" s="25" t="inlineStr">
        <is>
          <t>1. MEDICIÓN DE LA RESISTIVIDAD DEL TERRENO · MÉTODO DE WENNER (IEEE Std 81)</t>
        </is>
      </c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</row>
    <row r="11" ht="13.5" customHeight="1">
      <c r="B11" s="9" t="inlineStr">
        <is>
          <t>Telurómetro y fecha de la medición</t>
        </is>
      </c>
      <c r="C11" s="26" t="inlineStr"/>
      <c r="D11" s="27" t="inlineStr">
        <is>
          <t>Telurómetro digital · 15/10/2026 (época seca)</t>
        </is>
      </c>
      <c r="E11" s="28" t="n"/>
      <c r="F11" s="28" t="n"/>
      <c r="G11" s="28" t="n"/>
      <c r="H11" s="2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</row>
    <row r="12" ht="13.5" customHeight="1">
      <c r="B12" s="9" t="inlineStr">
        <is>
          <t>Profundidad de hincado de las picas de prueba</t>
        </is>
      </c>
      <c r="C12" s="26" t="inlineStr">
        <is>
          <t>b</t>
        </is>
      </c>
      <c r="D12" s="29" t="n">
        <v>0.2</v>
      </c>
      <c r="E12" s="30" t="inlineStr">
        <is>
          <t>m</t>
        </is>
      </c>
      <c r="F12" s="31" t="inlineStr">
        <is>
          <t>Con b ≤ a/20 la fórmula se reduce a ρ = 2π·a·R</t>
        </is>
      </c>
      <c r="J12" s="18" t="n"/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</row>
    <row r="13" ht="24" customHeight="1">
      <c r="B13" s="31" t="inlineStr">
        <is>
          <t>ρ = 4π·a·R / [1 + 2a/√(a² + 4b²) − a/√(a² + b²)]   (a: separación entre picas; R: lectura del telurómetro). Mida en dos direcciones perpendiculares sobre el área del pozo.</t>
        </is>
      </c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</row>
    <row r="14" ht="26" customHeight="1">
      <c r="B14" s="32" t="inlineStr">
        <is>
          <t>Lectura</t>
        </is>
      </c>
      <c r="C14" s="32" t="inlineStr">
        <is>
          <t>a (m)</t>
        </is>
      </c>
      <c r="D14" s="32" t="inlineStr">
        <is>
          <t>R dirección 1 (Ω)</t>
        </is>
      </c>
      <c r="E14" s="32" t="inlineStr">
        <is>
          <t>R dirección 2 (Ω)</t>
        </is>
      </c>
      <c r="F14" s="32" t="inlineStr">
        <is>
          <t>ρ dirección 1 (Ω·m)</t>
        </is>
      </c>
      <c r="G14" s="32" t="inlineStr">
        <is>
          <t>ρ dirección 2 (Ω·m)</t>
        </is>
      </c>
      <c r="H14" s="32" t="inlineStr">
        <is>
          <t>ρ media (Ω·m)</t>
        </is>
      </c>
      <c r="J14" s="18" t="n"/>
      <c r="K14" s="18" t="n"/>
      <c r="L14" s="18" t="n"/>
      <c r="M14" s="18" t="n"/>
      <c r="N14" s="18" t="n"/>
      <c r="O14" s="18" t="n"/>
      <c r="P14" s="18" t="n"/>
      <c r="Q14" s="18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</row>
    <row r="15" ht="13.5" customHeight="1">
      <c r="B15" s="33" t="inlineStr">
        <is>
          <t>Lectura 1</t>
        </is>
      </c>
      <c r="C15" s="29" t="n">
        <v>1</v>
      </c>
      <c r="D15" s="29" t="n">
        <v>25.4</v>
      </c>
      <c r="E15" s="29" t="n">
        <v>27.1</v>
      </c>
      <c r="F15" s="34">
        <f>IF(OR(C15="",D15=""),"",4*PI()*C15*D15/(1+2*C15/SQRT(C15^2+4*$D$12^2)-C15/SQRT(C15^2+$D$12^2)))</f>
        <v/>
      </c>
      <c r="G15" s="34">
        <f>IF(OR(C15="",E15=""),"",4*PI()*C15*E15/(1+2*C15/SQRT(C15^2+4*$D$12^2)-C15/SQRT(C15^2+$D$12^2)))</f>
        <v/>
      </c>
      <c r="H15" s="35">
        <f>IF(COUNT(F15:G15)=0,"",AVERAGE(F15:G15))</f>
        <v/>
      </c>
      <c r="J15" s="18" t="n"/>
      <c r="K15" s="18" t="n"/>
      <c r="L15" s="18" t="n"/>
      <c r="M15" s="18" t="n"/>
      <c r="N15" s="18" t="n"/>
      <c r="O15" s="18" t="n"/>
      <c r="P15" s="18" t="n"/>
      <c r="Q15" s="18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</row>
    <row r="16" ht="13.5" customHeight="1">
      <c r="B16" s="33" t="inlineStr">
        <is>
          <t>Lectura 2</t>
        </is>
      </c>
      <c r="C16" s="29" t="n">
        <v>2</v>
      </c>
      <c r="D16" s="29" t="n">
        <v>13.6</v>
      </c>
      <c r="E16" s="29" t="n">
        <v>14.5</v>
      </c>
      <c r="F16" s="34">
        <f>IF(OR(C16="",D16=""),"",4*PI()*C16*D16/(1+2*C16/SQRT(C16^2+4*$D$12^2)-C16/SQRT(C16^2+$D$12^2)))</f>
        <v/>
      </c>
      <c r="G16" s="34">
        <f>IF(OR(C16="",E16=""),"",4*PI()*C16*E16/(1+2*C16/SQRT(C16^2+4*$D$12^2)-C16/SQRT(C16^2+$D$12^2)))</f>
        <v/>
      </c>
      <c r="H16" s="35">
        <f>IF(COUNT(F16:G16)=0,"",AVERAGE(F16:G16))</f>
        <v/>
      </c>
      <c r="J16" s="18" t="n"/>
      <c r="K16" s="18" t="n"/>
      <c r="L16" s="18" t="n"/>
      <c r="M16" s="18" t="n"/>
      <c r="N16" s="18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</row>
    <row r="17" ht="13.5" customHeight="1">
      <c r="B17" s="33" t="inlineStr">
        <is>
          <t>Lectura 3</t>
        </is>
      </c>
      <c r="C17" s="29" t="n">
        <v>3</v>
      </c>
      <c r="D17" s="29" t="n">
        <v>9.800000000000001</v>
      </c>
      <c r="E17" s="29" t="n">
        <v>10.2</v>
      </c>
      <c r="F17" s="34">
        <f>IF(OR(C17="",D17=""),"",4*PI()*C17*D17/(1+2*C17/SQRT(C17^2+4*$D$12^2)-C17/SQRT(C17^2+$D$12^2)))</f>
        <v/>
      </c>
      <c r="G17" s="34">
        <f>IF(OR(C17="",E17=""),"",4*PI()*C17*E17/(1+2*C17/SQRT(C17^2+4*$D$12^2)-C17/SQRT(C17^2+$D$12^2)))</f>
        <v/>
      </c>
      <c r="H17" s="35">
        <f>IF(COUNT(F17:G17)=0,"",AVERAGE(F17:G17))</f>
        <v/>
      </c>
      <c r="J17" s="18" t="n"/>
      <c r="K17" s="18" t="n"/>
      <c r="L17" s="18" t="n"/>
      <c r="M17" s="18" t="n"/>
      <c r="N17" s="18" t="n"/>
      <c r="O17" s="18" t="n"/>
      <c r="P17" s="18" t="n"/>
      <c r="Q17" s="18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</row>
    <row r="18" ht="13.5" customHeight="1">
      <c r="B18" s="33" t="inlineStr">
        <is>
          <t>Lectura 4</t>
        </is>
      </c>
      <c r="C18" s="29" t="n">
        <v>4</v>
      </c>
      <c r="D18" s="29" t="n">
        <v>7.6</v>
      </c>
      <c r="E18" s="29" t="n">
        <v>7.9</v>
      </c>
      <c r="F18" s="34">
        <f>IF(OR(C18="",D18=""),"",4*PI()*C18*D18/(1+2*C18/SQRT(C18^2+4*$D$12^2)-C18/SQRT(C18^2+$D$12^2)))</f>
        <v/>
      </c>
      <c r="G18" s="34">
        <f>IF(OR(C18="",E18=""),"",4*PI()*C18*E18/(1+2*C18/SQRT(C18^2+4*$D$12^2)-C18/SQRT(C18^2+$D$12^2)))</f>
        <v/>
      </c>
      <c r="H18" s="35">
        <f>IF(COUNT(F18:G18)=0,"",AVERAGE(F18:G18))</f>
        <v/>
      </c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</row>
    <row r="19" ht="13.5" customHeight="1">
      <c r="B19" s="33" t="inlineStr">
        <is>
          <t>Lectura 5</t>
        </is>
      </c>
      <c r="C19" s="29" t="n">
        <v>6</v>
      </c>
      <c r="D19" s="29" t="n">
        <v>5.3</v>
      </c>
      <c r="E19" s="29" t="n">
        <v>5.5</v>
      </c>
      <c r="F19" s="34">
        <f>IF(OR(C19="",D19=""),"",4*PI()*C19*D19/(1+2*C19/SQRT(C19^2+4*$D$12^2)-C19/SQRT(C19^2+$D$12^2)))</f>
        <v/>
      </c>
      <c r="G19" s="34">
        <f>IF(OR(C19="",E19=""),"",4*PI()*C19*E19/(1+2*C19/SQRT(C19^2+4*$D$12^2)-C19/SQRT(C19^2+$D$12^2)))</f>
        <v/>
      </c>
      <c r="H19" s="35">
        <f>IF(COUNT(F19:G19)=0,"",AVERAGE(F19:G19))</f>
        <v/>
      </c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</row>
    <row r="20" ht="13.5" customHeight="1">
      <c r="B20" s="33" t="inlineStr">
        <is>
          <t>Lectura 6</t>
        </is>
      </c>
      <c r="C20" s="29" t="n">
        <v>8</v>
      </c>
      <c r="D20" s="29" t="n">
        <v>4.1</v>
      </c>
      <c r="E20" s="29" t="n">
        <v>4.2</v>
      </c>
      <c r="F20" s="34">
        <f>IF(OR(C20="",D20=""),"",4*PI()*C20*D20/(1+2*C20/SQRT(C20^2+4*$D$12^2)-C20/SQRT(C20^2+$D$12^2)))</f>
        <v/>
      </c>
      <c r="G20" s="34">
        <f>IF(OR(C20="",E20=""),"",4*PI()*C20*E20/(1+2*C20/SQRT(C20^2+4*$D$12^2)-C20/SQRT(C20^2+$D$12^2)))</f>
        <v/>
      </c>
      <c r="H20" s="35">
        <f>IF(COUNT(F20:G20)=0,"",AVERAGE(F20:G20))</f>
        <v/>
      </c>
      <c r="J20" s="18" t="n"/>
      <c r="K20" s="18" t="n"/>
      <c r="L20" s="18" t="n"/>
      <c r="M20" s="18" t="n"/>
      <c r="N20" s="18" t="n"/>
      <c r="O20" s="18" t="n"/>
      <c r="P20" s="18" t="n"/>
      <c r="Q20" s="18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</row>
    <row r="21" ht="13.5" customHeight="1">
      <c r="B21" s="33" t="inlineStr">
        <is>
          <t>Lectura 7</t>
        </is>
      </c>
      <c r="C21" s="29" t="n"/>
      <c r="D21" s="29" t="n"/>
      <c r="E21" s="29" t="n"/>
      <c r="F21" s="34">
        <f>IF(OR(C21="",D21=""),"",4*PI()*C21*D21/(1+2*C21/SQRT(C21^2+4*$D$12^2)-C21/SQRT(C21^2+$D$12^2)))</f>
        <v/>
      </c>
      <c r="G21" s="34">
        <f>IF(OR(C21="",E21=""),"",4*PI()*C21*E21/(1+2*C21/SQRT(C21^2+4*$D$12^2)-C21/SQRT(C21^2+$D$12^2)))</f>
        <v/>
      </c>
      <c r="H21" s="35">
        <f>IF(COUNT(F21:G21)=0,"",AVERAGE(F21:G21))</f>
        <v/>
      </c>
      <c r="J21" s="18" t="n"/>
      <c r="K21" s="18" t="n"/>
      <c r="L21" s="18" t="n"/>
      <c r="M21" s="18" t="n"/>
      <c r="N21" s="18" t="n"/>
      <c r="O21" s="18" t="n"/>
      <c r="P21" s="18" t="n"/>
      <c r="Q21" s="18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</row>
    <row r="22" ht="13.5" customHeight="1">
      <c r="B22" s="33" t="inlineStr">
        <is>
          <t>Lectura 8</t>
        </is>
      </c>
      <c r="C22" s="29" t="n"/>
      <c r="D22" s="29" t="n"/>
      <c r="E22" s="29" t="n"/>
      <c r="F22" s="34">
        <f>IF(OR(C22="",D22=""),"",4*PI()*C22*D22/(1+2*C22/SQRT(C22^2+4*$D$12^2)-C22/SQRT(C22^2+$D$12^2)))</f>
        <v/>
      </c>
      <c r="G22" s="34">
        <f>IF(OR(C22="",E22=""),"",4*PI()*C22*E22/(1+2*C22/SQRT(C22^2+4*$D$12^2)-C22/SQRT(C22^2+$D$12^2)))</f>
        <v/>
      </c>
      <c r="H22" s="35">
        <f>IF(COUNT(F22:G22)=0,"",AVERAGE(F22:G22))</f>
        <v/>
      </c>
      <c r="J22" s="18" t="n"/>
      <c r="K22" s="18" t="n"/>
      <c r="L22" s="18" t="n"/>
      <c r="M22" s="18" t="n"/>
      <c r="N22" s="18" t="n"/>
      <c r="O22" s="18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</row>
    <row r="23">
      <c r="J23" s="18" t="n"/>
      <c r="K23" s="18" t="n"/>
      <c r="L23" s="18" t="n"/>
      <c r="M23" s="18" t="n"/>
      <c r="N23" s="18" t="n"/>
      <c r="O23" s="18" t="n"/>
      <c r="P23" s="18" t="n"/>
      <c r="Q23" s="18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</row>
    <row r="24"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</row>
    <row r="25"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</row>
    <row r="26"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</row>
    <row r="27"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</row>
    <row r="28"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</row>
    <row r="29"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</row>
    <row r="30"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</row>
    <row r="31"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</row>
    <row r="32"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</row>
    <row r="33"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</row>
    <row r="34">
      <c r="J34" s="18" t="n"/>
      <c r="K34" s="18" t="n"/>
      <c r="L34" s="18" t="n"/>
      <c r="M34" s="18" t="n"/>
      <c r="N34" s="18" t="n"/>
      <c r="O34" s="18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</row>
    <row r="35"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</row>
    <row r="36" ht="13.5" customHeight="1">
      <c r="B36" s="9" t="inlineStr">
        <is>
          <t>Lecturas válidas</t>
        </is>
      </c>
      <c r="C36" s="26" t="inlineStr">
        <is>
          <t>n</t>
        </is>
      </c>
      <c r="D36" s="36">
        <f>COUNT($H$15:$H$22)</f>
        <v/>
      </c>
      <c r="E36" s="30" t="inlineStr"/>
      <c r="J36" s="18" t="n"/>
      <c r="K36" s="18" t="n"/>
      <c r="L36" s="18" t="n"/>
      <c r="M36" s="18" t="n"/>
      <c r="N36" s="18" t="n"/>
      <c r="O36" s="18" t="n"/>
      <c r="P36" s="18" t="n"/>
      <c r="Q36" s="18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</row>
    <row r="37" ht="13.5" customHeight="1">
      <c r="B37" s="9" t="inlineStr">
        <is>
          <t>Resistividad media de las lecturas</t>
        </is>
      </c>
      <c r="C37" s="26" t="inlineStr">
        <is>
          <t>ρm</t>
        </is>
      </c>
      <c r="D37" s="35">
        <f>IF($D$36=0,0,AVERAGE($H$15:$H$22))</f>
        <v/>
      </c>
      <c r="E37" s="30" t="inlineStr">
        <is>
          <t>Ω·m</t>
        </is>
      </c>
      <c r="J37" s="18" t="n"/>
      <c r="K37" s="18" t="n"/>
      <c r="L37" s="18" t="n"/>
      <c r="M37" s="18" t="n"/>
      <c r="N37" s="18" t="n"/>
      <c r="O37" s="18" t="n"/>
      <c r="P37" s="18" t="n"/>
      <c r="Q37" s="18" t="n"/>
      <c r="R37" s="18" t="n"/>
      <c r="S37" s="18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/>
      <c r="AD37" s="18" t="n"/>
    </row>
    <row r="38" ht="13.5" customHeight="1">
      <c r="B38" s="9" t="inlineStr">
        <is>
          <t>Resistividad máxima de las lecturas</t>
        </is>
      </c>
      <c r="C38" s="26" t="inlineStr">
        <is>
          <t>ρmáx</t>
        </is>
      </c>
      <c r="D38" s="35">
        <f>IF($D$36=0,0,MAX($F$15:$G$22))</f>
        <v/>
      </c>
      <c r="E38" s="30" t="inlineStr">
        <is>
          <t>Ω·m</t>
        </is>
      </c>
      <c r="J38" s="18" t="n"/>
      <c r="K38" s="18" t="n"/>
      <c r="L38" s="18" t="n"/>
      <c r="M38" s="18" t="n"/>
      <c r="N38" s="18" t="n"/>
      <c r="O38" s="18" t="n"/>
      <c r="P38" s="18" t="n"/>
      <c r="Q38" s="18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</row>
    <row r="39" ht="13.5" customHeight="1">
      <c r="B39" s="9" t="inlineStr">
        <is>
          <t>Resistividad mínima de las lecturas</t>
        </is>
      </c>
      <c r="C39" s="26" t="inlineStr">
        <is>
          <t>ρmín</t>
        </is>
      </c>
      <c r="D39" s="35">
        <f>IF($D$36=0,0,MIN($F$15:$G$22))</f>
        <v/>
      </c>
      <c r="E39" s="30" t="inlineStr">
        <is>
          <t>Ω·m</t>
        </is>
      </c>
      <c r="J39" s="18" t="n"/>
      <c r="K39" s="18" t="n"/>
      <c r="L39" s="18" t="n"/>
      <c r="M39" s="18" t="n"/>
      <c r="N39" s="18" t="n"/>
      <c r="O39" s="18" t="n"/>
      <c r="P39" s="18" t="n"/>
      <c r="Q39" s="18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</row>
    <row r="40" ht="13.5" customHeight="1">
      <c r="B40" s="9" t="inlineStr">
        <is>
          <t>Homogeneidad del terreno</t>
        </is>
      </c>
      <c r="C40" s="26" t="inlineStr"/>
      <c r="D40" s="37">
        <f>IF($D$36=0,"Ingrese las lecturas",IF(($D$38-$D$39)/$D$37&gt;0.5,"AVISO: el terreno es heterogéneo (estratificado). El modelo homogéneo es aproximado: use el criterio conservador.","Terreno aproximadamente homogéneo"))</f>
        <v/>
      </c>
      <c r="E40" s="38" t="n"/>
      <c r="F40" s="38" t="n"/>
      <c r="G40" s="38" t="n"/>
      <c r="H40" s="38" t="n"/>
      <c r="J40" s="18" t="n"/>
      <c r="K40" s="18" t="n"/>
      <c r="L40" s="18" t="n"/>
      <c r="M40" s="18" t="n"/>
      <c r="N40" s="18" t="n"/>
      <c r="O40" s="18" t="n"/>
      <c r="P40" s="18" t="n"/>
      <c r="Q40" s="18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</row>
    <row r="41">
      <c r="J41" s="18" t="n"/>
      <c r="K41" s="18" t="n"/>
      <c r="L41" s="18" t="n"/>
      <c r="M41" s="18" t="n"/>
      <c r="N41" s="18" t="n"/>
      <c r="O41" s="18" t="n"/>
      <c r="P41" s="18" t="n"/>
      <c r="Q41" s="18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</row>
    <row r="42" ht="17" customHeight="1">
      <c r="B42" s="25" t="inlineStr">
        <is>
          <t>2. RESISTIVIDAD DE DISEÑO</t>
        </is>
      </c>
      <c r="J42" s="18" t="n"/>
      <c r="K42" s="18" t="n"/>
      <c r="L42" s="18" t="n"/>
      <c r="M42" s="18" t="n"/>
      <c r="N42" s="18" t="n"/>
      <c r="O42" s="18" t="n"/>
      <c r="P42" s="18" t="n"/>
      <c r="Q42" s="18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</row>
    <row r="43" ht="13.5" customHeight="1">
      <c r="B43" s="9" t="inlineStr">
        <is>
          <t>Criterio para la resistividad de diseño</t>
        </is>
      </c>
      <c r="C43" s="26" t="inlineStr"/>
      <c r="D43" s="27" t="inlineStr">
        <is>
          <t>Promedio de las lecturas</t>
        </is>
      </c>
      <c r="E43" s="28" t="n"/>
      <c r="F43" s="28" t="n"/>
      <c r="G43" s="28" t="n"/>
      <c r="H43" s="2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</row>
    <row r="44" ht="13.5" customHeight="1">
      <c r="B44" s="9" t="inlineStr">
        <is>
          <t>Resistividad manual (solo con «Valor manual»)</t>
        </is>
      </c>
      <c r="C44" s="26" t="inlineStr">
        <is>
          <t>ρman</t>
        </is>
      </c>
      <c r="D44" s="29" t="n"/>
      <c r="E44" s="30" t="inlineStr">
        <is>
          <t>Ω·m</t>
        </is>
      </c>
      <c r="F44" s="31" t="inlineStr">
        <is>
          <t>Por ejemplo, de un estudio de suelos</t>
        </is>
      </c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</row>
    <row r="45" ht="13.5" customHeight="1">
      <c r="B45" s="9" t="inlineStr">
        <is>
          <t>Resistividad seleccionada</t>
        </is>
      </c>
      <c r="C45" s="26" t="inlineStr">
        <is>
          <t>ρsel</t>
        </is>
      </c>
      <c r="D45" s="35">
        <f>IF($D$43="Valor manual",N($D$44),IF(LEFT($D$43,6)="Máximo",$D$38,$D$37))</f>
        <v/>
      </c>
      <c r="E45" s="30" t="inlineStr">
        <is>
          <t>Ω·m</t>
        </is>
      </c>
      <c r="J45" s="18" t="n"/>
      <c r="K45" s="18" t="n"/>
      <c r="L45" s="18" t="n"/>
      <c r="M45" s="18" t="n"/>
      <c r="N45" s="18" t="n"/>
      <c r="O45" s="18" t="n"/>
      <c r="P45" s="18" t="n"/>
      <c r="Q45" s="18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  <c r="AA45" s="18" t="n"/>
      <c r="AB45" s="18" t="n"/>
      <c r="AC45" s="18" t="n"/>
      <c r="AD45" s="18" t="n"/>
    </row>
    <row r="46" ht="24" customHeight="1">
      <c r="B46" s="9" t="inlineStr">
        <is>
          <t>Factor estacional</t>
        </is>
      </c>
      <c r="C46" s="26" t="inlineStr">
        <is>
          <t>Ke</t>
        </is>
      </c>
      <c r="D46" s="29" t="n">
        <v>1</v>
      </c>
      <c r="E46" s="30" t="inlineStr"/>
      <c r="F46" s="31" t="inlineStr">
        <is>
          <t>1.0 si se midió en época seca; 1.2 a 2.0 si se midió con el terreno húmedo (criterio del proyectista)</t>
        </is>
      </c>
      <c r="J46" s="18" t="n"/>
      <c r="K46" s="18" t="n"/>
      <c r="L46" s="18" t="n"/>
      <c r="M46" s="18" t="n"/>
      <c r="N46" s="18" t="n"/>
      <c r="O46" s="18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  <c r="AA46" s="18" t="n"/>
      <c r="AB46" s="18" t="n"/>
      <c r="AC46" s="18" t="n"/>
      <c r="AD46" s="18" t="n"/>
    </row>
    <row r="47" ht="13.5" customHeight="1">
      <c r="B47" s="39" t="inlineStr">
        <is>
          <t>RESISTIVIDAD DE DISEÑO</t>
        </is>
      </c>
      <c r="C47" s="26" t="inlineStr">
        <is>
          <t>ρ</t>
        </is>
      </c>
      <c r="D47" s="40">
        <f>$D$45*$D$46</f>
        <v/>
      </c>
      <c r="E47" s="30" t="inlineStr">
        <is>
          <t>Ω·m</t>
        </is>
      </c>
      <c r="J47" s="18" t="n"/>
      <c r="K47" s="18" t="n"/>
      <c r="L47" s="18" t="n"/>
      <c r="M47" s="18" t="n"/>
      <c r="N47" s="18" t="n"/>
      <c r="O47" s="18" t="n"/>
      <c r="P47" s="18" t="n"/>
      <c r="Q47" s="18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  <c r="AA47" s="18" t="n"/>
      <c r="AB47" s="18" t="n"/>
      <c r="AC47" s="18" t="n"/>
      <c r="AD47" s="18" t="n"/>
    </row>
    <row r="48"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  <c r="AA48" s="18" t="n"/>
      <c r="AB48" s="18" t="n"/>
      <c r="AC48" s="18" t="n"/>
      <c r="AD48" s="18" t="n"/>
    </row>
    <row r="49" ht="17" customHeight="1">
      <c r="B49" s="25" t="inlineStr">
        <is>
          <t>3. ELECTRODO Y POZO (CNE-U Regla 060-702)</t>
        </is>
      </c>
      <c r="J49" s="18" t="n"/>
      <c r="K49" s="18" t="n"/>
      <c r="L49" s="18" t="n"/>
      <c r="M49" s="18" t="n"/>
      <c r="N49" s="18" t="n"/>
      <c r="O49" s="18" t="n"/>
      <c r="P49" s="18" t="n"/>
      <c r="Q49" s="18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  <c r="AA49" s="18" t="n"/>
      <c r="AB49" s="18" t="n"/>
      <c r="AC49" s="18" t="n"/>
      <c r="AD49" s="18" t="n"/>
    </row>
    <row r="50" ht="13.5" customHeight="1">
      <c r="B50" s="9" t="inlineStr">
        <is>
          <t>Varilla (electrodo)</t>
        </is>
      </c>
      <c r="C50" s="26" t="inlineStr"/>
      <c r="D50" s="27" t="inlineStr">
        <is>
          <t>Cobre Ø 5/8" (15.9 mm)</t>
        </is>
      </c>
      <c r="E50" s="28" t="n"/>
      <c r="F50" s="28" t="n"/>
      <c r="G50" s="28" t="n"/>
      <c r="H50" s="28" t="n"/>
      <c r="J50" s="18" t="n"/>
      <c r="K50" s="18" t="n"/>
      <c r="L50" s="18" t="n"/>
      <c r="M50" s="18" t="n"/>
      <c r="N50" s="18" t="n"/>
      <c r="O50" s="18" t="n"/>
      <c r="P50" s="18" t="n"/>
      <c r="Q50" s="18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  <c r="AA50" s="18" t="n"/>
      <c r="AB50" s="18" t="n"/>
      <c r="AC50" s="18" t="n"/>
      <c r="AD50" s="18" t="n"/>
    </row>
    <row r="51" ht="13.5" customHeight="1">
      <c r="B51" s="9" t="inlineStr">
        <is>
          <t>Diámetro de la varilla</t>
        </is>
      </c>
      <c r="C51" s="26" t="inlineStr">
        <is>
          <t>d</t>
        </is>
      </c>
      <c r="D51" s="41">
        <f>INDEX(VAR_D,MATCH($D$50,VAR_NOM,0))</f>
        <v/>
      </c>
      <c r="E51" s="30" t="inlineStr">
        <is>
          <t>m</t>
        </is>
      </c>
      <c r="J51" s="18" t="n"/>
      <c r="K51" s="18" t="n"/>
      <c r="L51" s="18" t="n"/>
      <c r="M51" s="18" t="n"/>
      <c r="N51" s="18" t="n"/>
      <c r="O51" s="18" t="n"/>
      <c r="P51" s="18" t="n"/>
      <c r="Q51" s="18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  <c r="AA51" s="18" t="n"/>
      <c r="AB51" s="18" t="n"/>
      <c r="AC51" s="18" t="n"/>
      <c r="AD51" s="18" t="n"/>
    </row>
    <row r="52" ht="13.5" customHeight="1">
      <c r="B52" s="9" t="inlineStr">
        <is>
          <t>Material</t>
        </is>
      </c>
      <c r="C52" s="26" t="inlineStr"/>
      <c r="D52" s="37">
        <f>INDEX(VAR_MAT,MATCH($D$50,VAR_NOM,0))</f>
        <v/>
      </c>
      <c r="E52" s="38" t="n"/>
      <c r="F52" s="38" t="n"/>
      <c r="G52" s="38" t="n"/>
      <c r="H52" s="38" t="n"/>
      <c r="J52" s="18" t="n"/>
      <c r="K52" s="18" t="n"/>
      <c r="L52" s="18" t="n"/>
      <c r="M52" s="18" t="n"/>
      <c r="N52" s="18" t="n"/>
      <c r="O52" s="18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  <c r="AA52" s="18" t="n"/>
      <c r="AB52" s="18" t="n"/>
      <c r="AC52" s="18" t="n"/>
      <c r="AD52" s="18" t="n"/>
    </row>
    <row r="53" ht="13.5" customHeight="1">
      <c r="B53" s="9" t="inlineStr">
        <is>
          <t>Longitud de la varilla</t>
        </is>
      </c>
      <c r="C53" s="26" t="inlineStr">
        <is>
          <t>L</t>
        </is>
      </c>
      <c r="D53" s="29" t="n">
        <v>2.4</v>
      </c>
      <c r="E53" s="30" t="inlineStr">
        <is>
          <t>m</t>
        </is>
      </c>
      <c r="F53" s="31" t="inlineStr">
        <is>
          <t>Práctica comercial: 2.40 m</t>
        </is>
      </c>
      <c r="J53" s="18" t="n"/>
      <c r="K53" s="18" t="n"/>
      <c r="L53" s="18" t="n"/>
      <c r="M53" s="18" t="n"/>
      <c r="N53" s="18" t="n"/>
      <c r="O53" s="18" t="n"/>
      <c r="P53" s="18" t="n"/>
      <c r="Q53" s="18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  <c r="AA53" s="18" t="n"/>
      <c r="AB53" s="18" t="n"/>
      <c r="AC53" s="18" t="n"/>
      <c r="AD53" s="18" t="n"/>
    </row>
    <row r="54" ht="24" customHeight="1">
      <c r="B54" s="9" t="inlineStr">
        <is>
          <t>Profundidad de la cabeza de la varilla bajo el piso terminado</t>
        </is>
      </c>
      <c r="C54" s="26" t="inlineStr">
        <is>
          <t>t</t>
        </is>
      </c>
      <c r="D54" s="29" t="n">
        <v>0.2</v>
      </c>
      <c r="E54" s="30" t="inlineStr">
        <is>
          <t>m</t>
        </is>
      </c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18" t="n"/>
      <c r="T54" s="18" t="n"/>
      <c r="U54" s="18" t="n"/>
      <c r="V54" s="18" t="n"/>
      <c r="W54" s="18" t="n"/>
      <c r="X54" s="18" t="n"/>
      <c r="Y54" s="18" t="n"/>
      <c r="Z54" s="18" t="n"/>
      <c r="AA54" s="18" t="n"/>
      <c r="AB54" s="18" t="n"/>
      <c r="AC54" s="18" t="n"/>
      <c r="AD54" s="18" t="n"/>
    </row>
    <row r="55" ht="13.5" customHeight="1">
      <c r="B55" s="9" t="inlineStr">
        <is>
          <t>Longitud ≥ 2 m · 060-702(3)(b)</t>
        </is>
      </c>
      <c r="C55" s="42">
        <f>IF($D$53&gt;=2,"CUMPLE","NO CUMPLE")</f>
        <v/>
      </c>
      <c r="D55" s="38" t="n"/>
      <c r="E55" s="38" t="n"/>
      <c r="J55" s="18" t="n"/>
      <c r="K55" s="18" t="n"/>
      <c r="L55" s="18" t="n"/>
      <c r="M55" s="18" t="n"/>
      <c r="N55" s="18" t="n"/>
      <c r="O55" s="18" t="n"/>
      <c r="P55" s="18" t="n"/>
      <c r="Q55" s="18" t="n"/>
      <c r="R55" s="18" t="n"/>
      <c r="S55" s="18" t="n"/>
      <c r="T55" s="18" t="n"/>
      <c r="U55" s="18" t="n"/>
      <c r="V55" s="18" t="n"/>
      <c r="W55" s="18" t="n"/>
      <c r="X55" s="18" t="n"/>
      <c r="Y55" s="18" t="n"/>
      <c r="Z55" s="18" t="n"/>
      <c r="AA55" s="18" t="n"/>
      <c r="AB55" s="18" t="n"/>
      <c r="AC55" s="18" t="n"/>
      <c r="AD55" s="18" t="n"/>
    </row>
    <row r="56" ht="24" customHeight="1">
      <c r="B56" s="9" t="inlineStr">
        <is>
          <t>Diámetro mínimo: 16 mm (5/8") acero-cobre; 13 mm (1/2") cobre · 060-702(3)(a)</t>
        </is>
      </c>
      <c r="C56" s="42">
        <f>IF($D$51&gt;=INDEX(VAR_DMIN,MATCH($D$50,VAR_NOM,0))-0.0001,"CUMPLE","NO CUMPLE")</f>
        <v/>
      </c>
      <c r="D56" s="38" t="n"/>
      <c r="E56" s="38" t="n"/>
      <c r="J56" s="18" t="n"/>
      <c r="K56" s="18" t="n"/>
      <c r="L56" s="18" t="n"/>
      <c r="M56" s="18" t="n"/>
      <c r="N56" s="18" t="n"/>
      <c r="O56" s="18" t="n"/>
      <c r="P56" s="18" t="n"/>
      <c r="Q56" s="18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  <c r="AA56" s="18" t="n"/>
      <c r="AB56" s="18" t="n"/>
      <c r="AC56" s="18" t="n"/>
      <c r="AD56" s="18" t="n"/>
    </row>
    <row r="57" ht="24" customHeight="1">
      <c r="B57" s="9" t="inlineStr">
        <is>
          <t>La varilla alcanza 2.5 m de profundidad (t + L ≥ 2.5 m) · 060-702(3)(d)</t>
        </is>
      </c>
      <c r="C57" s="42">
        <f>IF($D$54+$D$53&gt;=2.5,"CUMPLE","NO CUMPLE")</f>
        <v/>
      </c>
      <c r="D57" s="38" t="n"/>
      <c r="E57" s="38" t="n"/>
      <c r="J57" s="18" t="n"/>
      <c r="K57" s="18" t="n"/>
      <c r="L57" s="18" t="n"/>
      <c r="M57" s="18" t="n"/>
      <c r="N57" s="18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</row>
    <row r="58" ht="13.5" customHeight="1">
      <c r="B58" s="9" t="inlineStr">
        <is>
          <t>Relleno o tratamiento del pozo</t>
        </is>
      </c>
      <c r="C58" s="26" t="inlineStr"/>
      <c r="D58" s="27" t="inlineStr">
        <is>
          <t>Tierra de cultivo + 1 dosis de gel químico por m³</t>
        </is>
      </c>
      <c r="E58" s="28" t="n"/>
      <c r="F58" s="28" t="n"/>
      <c r="G58" s="28" t="n"/>
      <c r="H58" s="28" t="n"/>
      <c r="J58" s="18" t="n"/>
      <c r="K58" s="18" t="n"/>
      <c r="L58" s="18" t="n"/>
      <c r="M58" s="18" t="n"/>
      <c r="N58" s="18" t="n"/>
      <c r="O58" s="18" t="n"/>
      <c r="P58" s="18" t="n"/>
      <c r="Q58" s="18" t="n"/>
      <c r="R58" s="18" t="n"/>
      <c r="S58" s="18" t="n"/>
      <c r="T58" s="18" t="n"/>
      <c r="U58" s="18" t="n"/>
      <c r="V58" s="18" t="n"/>
      <c r="W58" s="18" t="n"/>
      <c r="X58" s="18" t="n"/>
      <c r="Y58" s="18" t="n"/>
      <c r="Z58" s="18" t="n"/>
      <c r="AA58" s="18" t="n"/>
      <c r="AB58" s="18" t="n"/>
      <c r="AC58" s="18" t="n"/>
      <c r="AD58" s="18" t="n"/>
    </row>
    <row r="59" ht="24" customHeight="1">
      <c r="B59" s="9" t="inlineStr">
        <is>
          <t>ρ del relleno del fabricante (solo con «Relleno manual»)</t>
        </is>
      </c>
      <c r="C59" s="26" t="inlineStr">
        <is>
          <t>ρc,man</t>
        </is>
      </c>
      <c r="D59" s="29" t="n"/>
      <c r="E59" s="30" t="inlineStr">
        <is>
          <t>Ω·m</t>
        </is>
      </c>
      <c r="J59" s="18" t="n"/>
      <c r="K59" s="18" t="n"/>
      <c r="L59" s="18" t="n"/>
      <c r="M59" s="18" t="n"/>
      <c r="N59" s="18" t="n"/>
      <c r="O59" s="18" t="n"/>
      <c r="P59" s="18" t="n"/>
      <c r="Q59" s="18" t="n"/>
      <c r="R59" s="18" t="n"/>
      <c r="S59" s="18" t="n"/>
      <c r="T59" s="18" t="n"/>
      <c r="U59" s="18" t="n"/>
      <c r="V59" s="18" t="n"/>
      <c r="W59" s="18" t="n"/>
      <c r="X59" s="18" t="n"/>
      <c r="Y59" s="18" t="n"/>
      <c r="Z59" s="18" t="n"/>
      <c r="AA59" s="18" t="n"/>
      <c r="AB59" s="18" t="n"/>
      <c r="AC59" s="18" t="n"/>
      <c r="AD59" s="18" t="n"/>
    </row>
    <row r="60" hidden="1" ht="13.5" customHeight="1">
      <c r="B60" s="9" t="inlineStr">
        <is>
          <t>¿Varilla sin pozo?</t>
        </is>
      </c>
      <c r="C60" s="26" t="inlineStr"/>
      <c r="D60" s="37">
        <f>LEFT($D$58,8)="Sin pozo"</f>
        <v/>
      </c>
      <c r="E60" s="38" t="n"/>
      <c r="F60" s="38" t="n"/>
      <c r="G60" s="38" t="n"/>
      <c r="H60" s="38" t="n"/>
      <c r="J60" s="18" t="n"/>
      <c r="K60" s="18" t="n"/>
      <c r="L60" s="18" t="n"/>
      <c r="M60" s="18" t="n"/>
      <c r="N60" s="18" t="n"/>
      <c r="O60" s="18" t="n"/>
      <c r="P60" s="18" t="n"/>
      <c r="Q60" s="18" t="n"/>
      <c r="R60" s="18" t="n"/>
      <c r="S60" s="18" t="n"/>
      <c r="T60" s="18" t="n"/>
      <c r="U60" s="18" t="n"/>
      <c r="V60" s="18" t="n"/>
      <c r="W60" s="18" t="n"/>
      <c r="X60" s="18" t="n"/>
      <c r="Y60" s="18" t="n"/>
      <c r="Z60" s="18" t="n"/>
      <c r="AA60" s="18" t="n"/>
      <c r="AB60" s="18" t="n"/>
      <c r="AC60" s="18" t="n"/>
      <c r="AD60" s="18" t="n"/>
    </row>
    <row r="61" ht="13.5" customHeight="1">
      <c r="B61" s="9" t="inlineStr">
        <is>
          <t>Resistividad del relleno</t>
        </is>
      </c>
      <c r="C61" s="26" t="inlineStr">
        <is>
          <t>ρc</t>
        </is>
      </c>
      <c r="D61" s="43">
        <f>IF($D$60,$D$47,IF(LEFT($D$58,14)="Relleno manual",IF(N($D$59)&gt;0,$D$59,$D$47),INDEX(TRAT_RHO,MATCH($D$58,TRAT_NOM,0))))</f>
        <v/>
      </c>
      <c r="E61" s="30" t="inlineStr">
        <is>
          <t>Ω·m</t>
        </is>
      </c>
      <c r="F61" s="31" t="inlineStr">
        <is>
          <t>Valor referencial de TABLAS o del fabricante</t>
        </is>
      </c>
      <c r="J61" s="18" t="n"/>
      <c r="K61" s="18" t="n"/>
      <c r="L61" s="18" t="n"/>
      <c r="M61" s="18" t="n"/>
      <c r="N61" s="18" t="n"/>
      <c r="O61" s="18" t="n"/>
      <c r="P61" s="18" t="n"/>
      <c r="Q61" s="18" t="n"/>
      <c r="R61" s="18" t="n"/>
      <c r="S61" s="18" t="n"/>
      <c r="T61" s="18" t="n"/>
      <c r="U61" s="18" t="n"/>
      <c r="V61" s="18" t="n"/>
      <c r="W61" s="18" t="n"/>
      <c r="X61" s="18" t="n"/>
      <c r="Y61" s="18" t="n"/>
      <c r="Z61" s="18" t="n"/>
      <c r="AA61" s="18" t="n"/>
      <c r="AB61" s="18" t="n"/>
      <c r="AC61" s="18" t="n"/>
      <c r="AD61" s="18" t="n"/>
    </row>
    <row r="62" ht="13.5" customHeight="1">
      <c r="B62" s="9" t="inlineStr">
        <is>
          <t>ρ del relleno manual ingresado</t>
        </is>
      </c>
      <c r="C62" s="42">
        <f>IF(LEFT($D$58,14)&lt;&gt;"Relleno manual","—",IF(N($D$59)&gt;0,"CUMPLE","AVISO: ingrese ρc (se usa ρ del terreno)"))</f>
        <v/>
      </c>
      <c r="D62" s="38" t="n"/>
      <c r="E62" s="38" t="n"/>
      <c r="J62" s="18" t="n"/>
      <c r="K62" s="18" t="n"/>
      <c r="L62" s="18" t="n"/>
      <c r="M62" s="18" t="n"/>
      <c r="N62" s="18" t="n"/>
      <c r="O62" s="18" t="n"/>
      <c r="P62" s="18" t="n"/>
      <c r="Q62" s="18" t="n"/>
      <c r="R62" s="18" t="n"/>
      <c r="S62" s="18" t="n"/>
      <c r="T62" s="18" t="n"/>
      <c r="U62" s="18" t="n"/>
      <c r="V62" s="18" t="n"/>
      <c r="W62" s="18" t="n"/>
      <c r="X62" s="18" t="n"/>
      <c r="Y62" s="18" t="n"/>
      <c r="Z62" s="18" t="n"/>
      <c r="AA62" s="18" t="n"/>
      <c r="AB62" s="18" t="n"/>
      <c r="AC62" s="18" t="n"/>
      <c r="AD62" s="18" t="n"/>
    </row>
    <row r="63" ht="13.5" customHeight="1">
      <c r="B63" s="9" t="inlineStr">
        <is>
          <t>Diámetro del pozo</t>
        </is>
      </c>
      <c r="C63" s="26" t="inlineStr">
        <is>
          <t>D</t>
        </is>
      </c>
      <c r="D63" s="29" t="n">
        <v>1</v>
      </c>
      <c r="E63" s="30" t="inlineStr">
        <is>
          <t>m</t>
        </is>
      </c>
      <c r="F63" s="31" t="inlineStr">
        <is>
          <t>Práctica de fabricantes: 0.80 a 1.00 m</t>
        </is>
      </c>
      <c r="J63" s="18" t="n"/>
      <c r="K63" s="18" t="n"/>
      <c r="L63" s="18" t="n"/>
      <c r="M63" s="18" t="n"/>
      <c r="N63" s="18" t="n"/>
      <c r="O63" s="18" t="n"/>
      <c r="P63" s="18" t="n"/>
      <c r="Q63" s="18" t="n"/>
      <c r="R63" s="18" t="n"/>
      <c r="S63" s="18" t="n"/>
      <c r="T63" s="18" t="n"/>
      <c r="U63" s="18" t="n"/>
      <c r="V63" s="18" t="n"/>
      <c r="W63" s="18" t="n"/>
      <c r="X63" s="18" t="n"/>
      <c r="Y63" s="18" t="n"/>
      <c r="Z63" s="18" t="n"/>
      <c r="AA63" s="18" t="n"/>
      <c r="AB63" s="18" t="n"/>
      <c r="AC63" s="18" t="n"/>
      <c r="AD63" s="18" t="n"/>
    </row>
    <row r="64" ht="13.5" customHeight="1">
      <c r="B64" s="9" t="inlineStr">
        <is>
          <t>Profundidad del pozo</t>
        </is>
      </c>
      <c r="C64" s="26" t="inlineStr">
        <is>
          <t>hp</t>
        </is>
      </c>
      <c r="D64" s="29" t="n">
        <v>3</v>
      </c>
      <c r="E64" s="30" t="inlineStr">
        <is>
          <t>m</t>
        </is>
      </c>
      <c r="F64" s="31" t="inlineStr">
        <is>
          <t>Práctica de fabricantes: L + 0.60 m</t>
        </is>
      </c>
      <c r="J64" s="18" t="n"/>
      <c r="K64" s="18" t="n"/>
      <c r="L64" s="18" t="n"/>
      <c r="M64" s="18" t="n"/>
      <c r="N64" s="18" t="n"/>
      <c r="O64" s="18" t="n"/>
      <c r="P64" s="18" t="n"/>
      <c r="Q64" s="18" t="n"/>
      <c r="R64" s="18" t="n"/>
      <c r="S64" s="18" t="n"/>
      <c r="T64" s="18" t="n"/>
      <c r="U64" s="18" t="n"/>
      <c r="V64" s="18" t="n"/>
      <c r="W64" s="18" t="n"/>
      <c r="X64" s="18" t="n"/>
      <c r="Y64" s="18" t="n"/>
      <c r="Z64" s="18" t="n"/>
      <c r="AA64" s="18" t="n"/>
      <c r="AB64" s="18" t="n"/>
      <c r="AC64" s="18" t="n"/>
      <c r="AD64" s="18" t="n"/>
    </row>
    <row r="65" ht="13.5" customHeight="1">
      <c r="B65" s="9" t="inlineStr">
        <is>
          <t>El relleno cubre toda la varilla (hp ≥ t + L)</t>
        </is>
      </c>
      <c r="C65" s="42">
        <f>IF($D$60,"—",IF($D$64&gt;=$D$54+$D$53-0.001,"CUMPLE","NO CUMPLE"))</f>
        <v/>
      </c>
      <c r="D65" s="38" t="n"/>
      <c r="E65" s="38" t="n"/>
      <c r="J65" s="18" t="n"/>
      <c r="K65" s="18" t="n"/>
      <c r="L65" s="18" t="n"/>
      <c r="M65" s="18" t="n"/>
      <c r="N65" s="18" t="n"/>
      <c r="O65" s="18" t="n"/>
      <c r="P65" s="18" t="n"/>
      <c r="Q65" s="18" t="n"/>
      <c r="R65" s="18" t="n"/>
      <c r="S65" s="18" t="n"/>
      <c r="T65" s="18" t="n"/>
      <c r="U65" s="18" t="n"/>
      <c r="V65" s="18" t="n"/>
      <c r="W65" s="18" t="n"/>
      <c r="X65" s="18" t="n"/>
      <c r="Y65" s="18" t="n"/>
      <c r="Z65" s="18" t="n"/>
      <c r="AA65" s="18" t="n"/>
      <c r="AB65" s="18" t="n"/>
      <c r="AC65" s="18" t="n"/>
      <c r="AD65" s="18" t="n"/>
    </row>
    <row r="66" ht="24" customHeight="1">
      <c r="B66" s="9" t="inlineStr">
        <is>
          <t>El relleno es mejor conductor que el terreno (ρc &lt; ρ)</t>
        </is>
      </c>
      <c r="C66" s="42">
        <f>IF($D$60,"—",IF($D$61&lt;$D$47,"CUMPLE","AVISO: el relleno no mejora"))</f>
        <v/>
      </c>
      <c r="D66" s="38" t="n"/>
      <c r="E66" s="38" t="n"/>
      <c r="J66" s="18" t="n"/>
      <c r="K66" s="18" t="n"/>
      <c r="L66" s="18" t="n"/>
      <c r="M66" s="18" t="n"/>
      <c r="N66" s="18" t="n"/>
      <c r="O66" s="18" t="n"/>
      <c r="P66" s="18" t="n"/>
      <c r="Q66" s="18" t="n"/>
      <c r="R66" s="18" t="n"/>
      <c r="S66" s="18" t="n"/>
      <c r="T66" s="18" t="n"/>
      <c r="U66" s="18" t="n"/>
      <c r="V66" s="18" t="n"/>
      <c r="W66" s="18" t="n"/>
      <c r="X66" s="18" t="n"/>
      <c r="Y66" s="18" t="n"/>
      <c r="Z66" s="18" t="n"/>
      <c r="AA66" s="18" t="n"/>
      <c r="AB66" s="18" t="n"/>
      <c r="AC66" s="18" t="n"/>
      <c r="AD66" s="18" t="n"/>
    </row>
    <row r="67" ht="13.5" customHeight="1">
      <c r="B67" s="9" t="inlineStr">
        <is>
          <t>Validez de la fórmula del pozo (8L/D &gt; 3)</t>
        </is>
      </c>
      <c r="C67" s="42">
        <f>IF($D$60,"—",IF(8*$D$53/$D$63&gt;3,"CUMPLE","NO CUMPLE: pozo muy ancho para la varilla"))</f>
        <v/>
      </c>
      <c r="D67" s="38" t="n"/>
      <c r="E67" s="38" t="n"/>
      <c r="J67" s="18" t="n"/>
      <c r="K67" s="18" t="n"/>
      <c r="L67" s="18" t="n"/>
      <c r="M67" s="18" t="n"/>
      <c r="N67" s="18" t="n"/>
      <c r="O67" s="18" t="n"/>
      <c r="P67" s="18" t="n"/>
      <c r="Q67" s="18" t="n"/>
      <c r="R67" s="18" t="n"/>
      <c r="S67" s="18" t="n"/>
      <c r="T67" s="18" t="n"/>
      <c r="U67" s="18" t="n"/>
      <c r="V67" s="18" t="n"/>
      <c r="W67" s="18" t="n"/>
      <c r="X67" s="18" t="n"/>
      <c r="Y67" s="18" t="n"/>
      <c r="Z67" s="18" t="n"/>
      <c r="AA67" s="18" t="n"/>
      <c r="AB67" s="18" t="n"/>
      <c r="AC67" s="18" t="n"/>
      <c r="AD67" s="18" t="n"/>
    </row>
    <row r="68" ht="13.5" customHeight="1">
      <c r="B68" s="9" t="inlineStr">
        <is>
          <t>Volumen de relleno por pozo (π·D²/4·hp)</t>
        </is>
      </c>
      <c r="C68" s="26" t="inlineStr">
        <is>
          <t>Vr</t>
        </is>
      </c>
      <c r="D68" s="43">
        <f>IF($D$60,0,PI()*$D$63^2/4*$D$64)</f>
        <v/>
      </c>
      <c r="E68" s="30" t="inlineStr">
        <is>
          <t>m³</t>
        </is>
      </c>
      <c r="J68" s="18" t="n"/>
      <c r="K68" s="18" t="n"/>
      <c r="L68" s="18" t="n"/>
      <c r="M68" s="18" t="n"/>
      <c r="N68" s="18" t="n"/>
      <c r="O68" s="18" t="n"/>
      <c r="P68" s="18" t="n"/>
      <c r="Q68" s="18" t="n"/>
      <c r="R68" s="18" t="n"/>
      <c r="S68" s="18" t="n"/>
      <c r="T68" s="18" t="n"/>
      <c r="U68" s="18" t="n"/>
      <c r="V68" s="18" t="n"/>
      <c r="W68" s="18" t="n"/>
      <c r="X68" s="18" t="n"/>
      <c r="Y68" s="18" t="n"/>
      <c r="Z68" s="18" t="n"/>
      <c r="AA68" s="18" t="n"/>
      <c r="AB68" s="18" t="n"/>
      <c r="AC68" s="18" t="n"/>
      <c r="AD68" s="18" t="n"/>
    </row>
    <row r="69" ht="13.5" customHeight="1">
      <c r="B69" s="9" t="inlineStr">
        <is>
          <t>Dosis de gel químico por pozo</t>
        </is>
      </c>
      <c r="C69" s="26" t="inlineStr"/>
      <c r="D69" s="36">
        <f>IF($D$60,0,ROUNDUP($D$68*INDEX(TRAT_DOS,MATCH($D$58,TRAT_NOM,0)),0))</f>
        <v/>
      </c>
      <c r="E69" s="30" t="inlineStr">
        <is>
          <t>dosis</t>
        </is>
      </c>
      <c r="F69" s="31" t="inlineStr">
        <is>
          <t>Según la dosificación por m³ del relleno elegido</t>
        </is>
      </c>
      <c r="J69" s="18" t="n"/>
      <c r="K69" s="18" t="n"/>
      <c r="L69" s="18" t="n"/>
      <c r="M69" s="18" t="n"/>
      <c r="N69" s="18" t="n"/>
      <c r="O69" s="18" t="n"/>
      <c r="P69" s="18" t="n"/>
      <c r="Q69" s="18" t="n"/>
      <c r="R69" s="18" t="n"/>
      <c r="S69" s="18" t="n"/>
      <c r="T69" s="18" t="n"/>
      <c r="U69" s="18" t="n"/>
      <c r="V69" s="18" t="n"/>
      <c r="W69" s="18" t="n"/>
      <c r="X69" s="18" t="n"/>
      <c r="Y69" s="18" t="n"/>
      <c r="Z69" s="18" t="n"/>
      <c r="AA69" s="18" t="n"/>
      <c r="AB69" s="18" t="n"/>
      <c r="AC69" s="18" t="n"/>
      <c r="AD69" s="18" t="n"/>
    </row>
    <row r="70">
      <c r="J70" s="18" t="n"/>
      <c r="K70" s="18" t="n"/>
      <c r="L70" s="18" t="n"/>
      <c r="M70" s="18" t="n"/>
      <c r="N70" s="18" t="n"/>
      <c r="O70" s="18" t="n"/>
      <c r="P70" s="18" t="n"/>
      <c r="Q70" s="18" t="n"/>
      <c r="R70" s="18" t="n"/>
      <c r="S70" s="18" t="n"/>
      <c r="T70" s="18" t="n"/>
      <c r="U70" s="18" t="n"/>
      <c r="V70" s="18" t="n"/>
      <c r="W70" s="18" t="n"/>
      <c r="X70" s="18" t="n"/>
      <c r="Y70" s="18" t="n"/>
      <c r="Z70" s="18" t="n"/>
      <c r="AA70" s="18" t="n"/>
      <c r="AB70" s="18" t="n"/>
      <c r="AC70" s="18" t="n"/>
      <c r="AD70" s="18" t="n"/>
    </row>
    <row r="71" ht="17" customHeight="1">
      <c r="B71" s="25" t="inlineStr">
        <is>
          <t>4. RESISTENCIA DE UN POZO</t>
        </is>
      </c>
      <c r="J71" s="18" t="n"/>
      <c r="K71" s="18" t="n"/>
      <c r="L71" s="18" t="n"/>
      <c r="M71" s="18" t="n"/>
      <c r="N71" s="18" t="n"/>
      <c r="O71" s="18" t="n"/>
      <c r="P71" s="18" t="n"/>
      <c r="Q71" s="18" t="n"/>
      <c r="R71" s="18" t="n"/>
      <c r="S71" s="18" t="n"/>
      <c r="T71" s="18" t="n"/>
      <c r="U71" s="18" t="n"/>
      <c r="V71" s="18" t="n"/>
      <c r="W71" s="18" t="n"/>
      <c r="X71" s="18" t="n"/>
      <c r="Y71" s="18" t="n"/>
      <c r="Z71" s="18" t="n"/>
      <c r="AA71" s="18" t="n"/>
      <c r="AB71" s="18" t="n"/>
      <c r="AC71" s="18" t="n"/>
      <c r="AD71" s="18" t="n"/>
    </row>
    <row r="72" ht="24" customHeight="1">
      <c r="B72" s="31" t="inlineStr">
        <is>
          <t>Varilla en terreno natural (Dwight, IEEE Std 80):  R0 = ρ/(2π·L)·[ln(8L/d) − 1].  Varilla en pozo con relleno de diámetro D (electrodo encapsulado, IEEE Std 80):  R1 = [ρc·ln(D/d) + ρ·(ln(8L/D) − 1)] / (2π·L).</t>
        </is>
      </c>
      <c r="J72" s="18" t="n"/>
      <c r="K72" s="18" t="n"/>
      <c r="L72" s="18" t="n"/>
      <c r="M72" s="18" t="n"/>
      <c r="N72" s="18" t="n"/>
      <c r="O72" s="18" t="n"/>
      <c r="P72" s="18" t="n"/>
      <c r="Q72" s="18" t="n"/>
      <c r="R72" s="18" t="n"/>
      <c r="S72" s="18" t="n"/>
      <c r="T72" s="18" t="n"/>
      <c r="U72" s="18" t="n"/>
      <c r="V72" s="18" t="n"/>
      <c r="W72" s="18" t="n"/>
      <c r="X72" s="18" t="n"/>
      <c r="Y72" s="18" t="n"/>
      <c r="Z72" s="18" t="n"/>
      <c r="AA72" s="18" t="n"/>
      <c r="AB72" s="18" t="n"/>
      <c r="AC72" s="18" t="n"/>
      <c r="AD72" s="18" t="n"/>
    </row>
    <row r="73" ht="13.5" customHeight="1">
      <c r="B73" s="9" t="inlineStr">
        <is>
          <t>Resistencia de la varilla sin pozo</t>
        </is>
      </c>
      <c r="C73" s="26" t="inlineStr">
        <is>
          <t>R0</t>
        </is>
      </c>
      <c r="D73" s="43">
        <f>$D$47/(2*PI()*$D$53)*(LN(8*$D$53/$D$51)-1)</f>
        <v/>
      </c>
      <c r="E73" s="30" t="inlineStr">
        <is>
          <t>Ω</t>
        </is>
      </c>
      <c r="J73" s="18" t="n"/>
      <c r="K73" s="18" t="n"/>
      <c r="L73" s="18" t="n"/>
      <c r="M73" s="18" t="n"/>
      <c r="N73" s="18" t="n"/>
      <c r="O73" s="18" t="n"/>
      <c r="P73" s="18" t="n"/>
      <c r="Q73" s="18" t="n"/>
      <c r="R73" s="18" t="n"/>
      <c r="S73" s="18" t="n"/>
      <c r="T73" s="18" t="n"/>
      <c r="U73" s="18" t="n"/>
      <c r="V73" s="18" t="n"/>
      <c r="W73" s="18" t="n"/>
      <c r="X73" s="18" t="n"/>
      <c r="Y73" s="18" t="n"/>
      <c r="Z73" s="18" t="n"/>
      <c r="AA73" s="18" t="n"/>
      <c r="AB73" s="18" t="n"/>
      <c r="AC73" s="18" t="n"/>
      <c r="AD73" s="18" t="n"/>
    </row>
    <row r="74" ht="13.5" customHeight="1">
      <c r="B74" s="39" t="inlineStr">
        <is>
          <t>RESISTENCIA DE UN POZO</t>
        </is>
      </c>
      <c r="C74" s="26" t="inlineStr">
        <is>
          <t>R1</t>
        </is>
      </c>
      <c r="D74" s="44">
        <f>IF($D$60,$D$73,($D$61*LN($D$63/$D$51)+$D$47*(LN(8*$D$53/$D$63)-1))/(2*PI()*$D$53))</f>
        <v/>
      </c>
      <c r="E74" s="30" t="inlineStr">
        <is>
          <t>Ω</t>
        </is>
      </c>
      <c r="J74" s="18" t="n"/>
      <c r="K74" s="18" t="n"/>
      <c r="L74" s="18" t="n"/>
      <c r="M74" s="18" t="n"/>
      <c r="N74" s="18" t="n"/>
      <c r="O74" s="18" t="n"/>
      <c r="P74" s="18" t="n"/>
      <c r="Q74" s="18" t="n"/>
      <c r="R74" s="18" t="n"/>
      <c r="S74" s="18" t="n"/>
      <c r="T74" s="18" t="n"/>
      <c r="U74" s="18" t="n"/>
      <c r="V74" s="18" t="n"/>
      <c r="W74" s="18" t="n"/>
      <c r="X74" s="18" t="n"/>
      <c r="Y74" s="18" t="n"/>
      <c r="Z74" s="18" t="n"/>
      <c r="AA74" s="18" t="n"/>
      <c r="AB74" s="18" t="n"/>
      <c r="AC74" s="18" t="n"/>
      <c r="AD74" s="18" t="n"/>
    </row>
    <row r="75" ht="13.5" customHeight="1">
      <c r="B75" s="9" t="inlineStr">
        <is>
          <t>Reducción lograda con el pozo</t>
        </is>
      </c>
      <c r="C75" s="26" t="inlineStr"/>
      <c r="D75" s="45">
        <f>IF($D$73=0,0,1-$D$74/$D$73)</f>
        <v/>
      </c>
      <c r="E75" s="30" t="inlineStr"/>
      <c r="J75" s="18" t="n"/>
      <c r="K75" s="18" t="n"/>
      <c r="L75" s="18" t="n"/>
      <c r="M75" s="18" t="n"/>
      <c r="N75" s="18" t="n"/>
      <c r="O75" s="18" t="n"/>
      <c r="P75" s="18" t="n"/>
      <c r="Q75" s="18" t="n"/>
      <c r="R75" s="18" t="n"/>
      <c r="S75" s="18" t="n"/>
      <c r="T75" s="18" t="n"/>
      <c r="U75" s="18" t="n"/>
      <c r="V75" s="18" t="n"/>
      <c r="W75" s="18" t="n"/>
      <c r="X75" s="18" t="n"/>
      <c r="Y75" s="18" t="n"/>
      <c r="Z75" s="18" t="n"/>
      <c r="AA75" s="18" t="n"/>
      <c r="AB75" s="18" t="n"/>
      <c r="AC75" s="18" t="n"/>
      <c r="AD75" s="18" t="n"/>
    </row>
    <row r="76">
      <c r="J76" s="18" t="n"/>
      <c r="K76" s="18" t="n"/>
      <c r="L76" s="18" t="n"/>
      <c r="M76" s="18" t="n"/>
      <c r="N76" s="18" t="n"/>
      <c r="O76" s="18" t="n"/>
      <c r="P76" s="18" t="n"/>
      <c r="Q76" s="18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  <c r="AA76" s="18" t="n"/>
      <c r="AB76" s="18" t="n"/>
      <c r="AC76" s="18" t="n"/>
      <c r="AD76" s="18" t="n"/>
    </row>
    <row r="77" ht="17" customHeight="1">
      <c r="B77" s="25" t="inlineStr">
        <is>
          <t>5. RESISTENCIA OBJETIVO Y NÚMERO DE POZOS (CNE-U 060-712 · BS 7430)</t>
        </is>
      </c>
      <c r="J77" s="18" t="n"/>
      <c r="K77" s="18" t="n"/>
      <c r="L77" s="18" t="n"/>
      <c r="M77" s="18" t="n"/>
      <c r="N77" s="18" t="n"/>
      <c r="O77" s="18" t="n"/>
      <c r="P77" s="18" t="n"/>
      <c r="Q77" s="18" t="n"/>
      <c r="R77" s="18" t="n"/>
      <c r="S77" s="18" t="n"/>
      <c r="T77" s="18" t="n"/>
      <c r="U77" s="18" t="n"/>
      <c r="V77" s="18" t="n"/>
      <c r="W77" s="18" t="n"/>
      <c r="X77" s="18" t="n"/>
      <c r="Y77" s="18" t="n"/>
      <c r="Z77" s="18" t="n"/>
      <c r="AA77" s="18" t="n"/>
      <c r="AB77" s="18" t="n"/>
      <c r="AC77" s="18" t="n"/>
      <c r="AD77" s="18" t="n"/>
    </row>
    <row r="78" ht="13.5" customHeight="1">
      <c r="B78" s="9" t="inlineStr">
        <is>
          <t>Uso del sistema de puesta a tierra</t>
        </is>
      </c>
      <c r="C78" s="26" t="inlineStr"/>
      <c r="D78" s="27" t="inlineStr">
        <is>
          <t>Instalaciones interiores en general (CNE-U 060-712)</t>
        </is>
      </c>
      <c r="E78" s="28" t="n"/>
      <c r="F78" s="28" t="n"/>
      <c r="G78" s="28" t="n"/>
      <c r="H78" s="28" t="n"/>
      <c r="J78" s="18" t="n"/>
      <c r="K78" s="18" t="n"/>
      <c r="L78" s="18" t="n"/>
      <c r="M78" s="18" t="n"/>
      <c r="N78" s="18" t="n"/>
      <c r="O78" s="18" t="n"/>
      <c r="P78" s="18" t="n"/>
      <c r="Q78" s="18" t="n"/>
      <c r="R78" s="18" t="n"/>
      <c r="S78" s="18" t="n"/>
      <c r="T78" s="18" t="n"/>
      <c r="U78" s="18" t="n"/>
      <c r="V78" s="18" t="n"/>
      <c r="W78" s="18" t="n"/>
      <c r="X78" s="18" t="n"/>
      <c r="Y78" s="18" t="n"/>
      <c r="Z78" s="18" t="n"/>
      <c r="AA78" s="18" t="n"/>
      <c r="AB78" s="18" t="n"/>
      <c r="AC78" s="18" t="n"/>
      <c r="AD78" s="18" t="n"/>
    </row>
    <row r="79" ht="24" customHeight="1">
      <c r="B79" s="9" t="inlineStr">
        <is>
          <t>Resistencia objetivo del proyectista (solo con «Valor del proyectista»)</t>
        </is>
      </c>
      <c r="C79" s="26" t="inlineStr">
        <is>
          <t>Rman</t>
        </is>
      </c>
      <c r="D79" s="29" t="n"/>
      <c r="E79" s="30" t="inlineStr">
        <is>
          <t>Ω</t>
        </is>
      </c>
      <c r="J79" s="18" t="n"/>
      <c r="K79" s="18" t="n"/>
      <c r="L79" s="18" t="n"/>
      <c r="M79" s="18" t="n"/>
      <c r="N79" s="18" t="n"/>
      <c r="O79" s="18" t="n"/>
      <c r="P79" s="18" t="n"/>
      <c r="Q79" s="18" t="n"/>
      <c r="R79" s="18" t="n"/>
      <c r="S79" s="18" t="n"/>
      <c r="T79" s="18" t="n"/>
      <c r="U79" s="18" t="n"/>
      <c r="V79" s="18" t="n"/>
      <c r="W79" s="18" t="n"/>
      <c r="X79" s="18" t="n"/>
      <c r="Y79" s="18" t="n"/>
      <c r="Z79" s="18" t="n"/>
      <c r="AA79" s="18" t="n"/>
      <c r="AB79" s="18" t="n"/>
      <c r="AC79" s="18" t="n"/>
      <c r="AD79" s="18" t="n"/>
    </row>
    <row r="80" ht="13.5" customHeight="1">
      <c r="B80" s="9" t="inlineStr">
        <is>
          <t>Resistencia objetivo</t>
        </is>
      </c>
      <c r="C80" s="26" t="inlineStr">
        <is>
          <t>Robj</t>
        </is>
      </c>
      <c r="D80" s="35">
        <f>IF(INDEX(OBJ_R,MATCH($D$78,OBJ_NOM,0))="",N($D$79),INDEX(OBJ_R,MATCH($D$78,OBJ_NOM,0)))</f>
        <v/>
      </c>
      <c r="E80" s="30" t="inlineStr">
        <is>
          <t>Ω</t>
        </is>
      </c>
      <c r="J80" s="18" t="n"/>
      <c r="K80" s="18" t="n"/>
      <c r="L80" s="18" t="n"/>
      <c r="M80" s="18" t="n"/>
      <c r="N80" s="18" t="n"/>
      <c r="O80" s="18" t="n"/>
      <c r="P80" s="18" t="n"/>
      <c r="Q80" s="18" t="n"/>
      <c r="R80" s="18" t="n"/>
      <c r="S80" s="18" t="n"/>
      <c r="T80" s="18" t="n"/>
      <c r="U80" s="18" t="n"/>
      <c r="V80" s="18" t="n"/>
      <c r="W80" s="18" t="n"/>
      <c r="X80" s="18" t="n"/>
      <c r="Y80" s="18" t="n"/>
      <c r="Z80" s="18" t="n"/>
      <c r="AA80" s="18" t="n"/>
      <c r="AB80" s="18" t="n"/>
      <c r="AC80" s="18" t="n"/>
      <c r="AD80" s="18" t="n"/>
    </row>
    <row r="81" ht="13.5" customHeight="1">
      <c r="B81" s="9" t="inlineStr">
        <is>
          <t>Referencia</t>
        </is>
      </c>
      <c r="C81" s="26" t="inlineStr"/>
      <c r="D81" s="37">
        <f>INDEX(OBJ_REF,MATCH($D$78,OBJ_NOM,0))</f>
        <v/>
      </c>
      <c r="E81" s="38" t="n"/>
      <c r="F81" s="38" t="n"/>
      <c r="G81" s="38" t="n"/>
      <c r="H81" s="38" t="n"/>
      <c r="J81" s="18" t="n"/>
      <c r="K81" s="18" t="n"/>
      <c r="L81" s="18" t="n"/>
      <c r="M81" s="18" t="n"/>
      <c r="N81" s="18" t="n"/>
      <c r="O81" s="18" t="n"/>
      <c r="P81" s="18" t="n"/>
      <c r="Q81" s="18" t="n"/>
      <c r="R81" s="18" t="n"/>
      <c r="S81" s="18" t="n"/>
      <c r="T81" s="18" t="n"/>
      <c r="U81" s="18" t="n"/>
      <c r="V81" s="18" t="n"/>
      <c r="W81" s="18" t="n"/>
      <c r="X81" s="18" t="n"/>
      <c r="Y81" s="18" t="n"/>
      <c r="Z81" s="18" t="n"/>
      <c r="AA81" s="18" t="n"/>
      <c r="AB81" s="18" t="n"/>
      <c r="AC81" s="18" t="n"/>
      <c r="AD81" s="18" t="n"/>
    </row>
    <row r="82" ht="13.5" customHeight="1">
      <c r="B82" s="9" t="inlineStr">
        <is>
          <t>Separación entre pozos</t>
        </is>
      </c>
      <c r="C82" s="26" t="inlineStr">
        <is>
          <t>s</t>
        </is>
      </c>
      <c r="D82" s="29" t="n">
        <v>5</v>
      </c>
      <c r="E82" s="30" t="inlineStr">
        <is>
          <t>m</t>
        </is>
      </c>
      <c r="F82" s="31" t="inlineStr">
        <is>
          <t>060-702(6): al menos 2 m o la longitud del electrodo</t>
        </is>
      </c>
      <c r="J82" s="18" t="n"/>
      <c r="K82" s="18" t="n"/>
      <c r="L82" s="18" t="n"/>
      <c r="M82" s="18" t="n"/>
      <c r="N82" s="18" t="n"/>
      <c r="O82" s="18" t="n"/>
      <c r="P82" s="18" t="n"/>
      <c r="Q82" s="18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  <c r="AA82" s="18" t="n"/>
      <c r="AB82" s="18" t="n"/>
      <c r="AC82" s="18" t="n"/>
      <c r="AD82" s="18" t="n"/>
    </row>
    <row r="83" ht="13.5" customHeight="1">
      <c r="B83" s="9" t="inlineStr">
        <is>
          <t>Separación ≥ máx(2 m, L) · 060-702(6) y 060-712</t>
        </is>
      </c>
      <c r="C83" s="42">
        <f>IF($D$82&gt;=MAX(2,$D$53),"CUMPLE","NO CUMPLE")</f>
        <v/>
      </c>
      <c r="D83" s="38" t="n"/>
      <c r="E83" s="38" t="n"/>
      <c r="J83" s="18" t="n"/>
      <c r="K83" s="18" t="n"/>
      <c r="L83" s="18" t="n"/>
      <c r="M83" s="18" t="n"/>
      <c r="N83" s="18" t="n"/>
      <c r="O83" s="18" t="n"/>
      <c r="P83" s="18" t="n"/>
      <c r="Q83" s="18" t="n"/>
      <c r="R83" s="18" t="n"/>
      <c r="S83" s="18" t="n"/>
      <c r="T83" s="18" t="n"/>
      <c r="U83" s="18" t="n"/>
      <c r="V83" s="18" t="n"/>
      <c r="W83" s="18" t="n"/>
      <c r="X83" s="18" t="n"/>
      <c r="Y83" s="18" t="n"/>
      <c r="Z83" s="18" t="n"/>
      <c r="AA83" s="18" t="n"/>
      <c r="AB83" s="18" t="n"/>
      <c r="AC83" s="18" t="n"/>
      <c r="AD83" s="18" t="n"/>
    </row>
    <row r="84" ht="36" customHeight="1">
      <c r="B84" s="31" t="inlineStr">
        <is>
          <t>Pozos en línea recta, unidos por conductor de cobre desnudo (su aporte se desprecia, a favor de la seguridad):  Rn = R1·(1 + λ·α)/n,  α = ρ/(2π·R1·s)  (BS 7430, cláusula 10.2). Para 3 pozos en triángulo o en L, λ = 1.66 (igual que en línea).</t>
        </is>
      </c>
      <c r="J84" s="18" t="n"/>
      <c r="K84" s="18" t="n"/>
      <c r="L84" s="18" t="n"/>
      <c r="M84" s="18" t="n"/>
      <c r="N84" s="18" t="n"/>
      <c r="O84" s="18" t="n"/>
      <c r="P84" s="18" t="n"/>
      <c r="Q84" s="18" t="n"/>
      <c r="R84" s="18" t="n"/>
      <c r="S84" s="18" t="n"/>
      <c r="T84" s="18" t="n"/>
      <c r="U84" s="18" t="n"/>
      <c r="V84" s="18" t="n"/>
      <c r="W84" s="18" t="n"/>
      <c r="X84" s="18" t="n"/>
      <c r="Y84" s="18" t="n"/>
      <c r="Z84" s="18" t="n"/>
      <c r="AA84" s="18" t="n"/>
      <c r="AB84" s="18" t="n"/>
      <c r="AC84" s="18" t="n"/>
      <c r="AD84" s="18" t="n"/>
    </row>
    <row r="85" ht="26" customHeight="1">
      <c r="B85" s="32" t="inlineStr">
        <is>
          <t>Disposición</t>
        </is>
      </c>
      <c r="C85" s="32" t="inlineStr">
        <is>
          <t>n</t>
        </is>
      </c>
      <c r="D85" s="32" t="inlineStr">
        <is>
          <t>λ</t>
        </is>
      </c>
      <c r="E85" s="32" t="inlineStr">
        <is>
          <t>α</t>
        </is>
      </c>
      <c r="F85" s="32" t="inlineStr">
        <is>
          <t>Rn (Ω)</t>
        </is>
      </c>
      <c r="G85" s="32" t="inlineStr">
        <is>
          <t>Rn ≤ Robj</t>
        </is>
      </c>
      <c r="H85" s="32" t="inlineStr"/>
      <c r="J85" s="18" t="n"/>
      <c r="K85" s="18" t="n"/>
      <c r="L85" s="18" t="n"/>
      <c r="M85" s="18" t="n"/>
      <c r="N85" s="18" t="n"/>
      <c r="O85" s="18" t="n"/>
      <c r="P85" s="18" t="n"/>
      <c r="Q85" s="18" t="n"/>
      <c r="R85" s="18" t="n"/>
      <c r="S85" s="18" t="n"/>
      <c r="T85" s="18" t="n"/>
      <c r="U85" s="18" t="n"/>
      <c r="V85" s="18" t="n"/>
      <c r="W85" s="18" t="n"/>
      <c r="X85" s="18" t="n"/>
      <c r="Y85" s="18" t="n"/>
      <c r="Z85" s="18" t="n"/>
      <c r="AA85" s="18" t="n"/>
      <c r="AB85" s="18" t="n"/>
      <c r="AC85" s="18" t="n"/>
      <c r="AD85" s="18" t="n"/>
    </row>
    <row r="86" ht="13.5" customHeight="1">
      <c r="B86" s="33" t="inlineStr">
        <is>
          <t>1 pozo en línea</t>
        </is>
      </c>
      <c r="C86" s="46" t="n">
        <v>1</v>
      </c>
      <c r="D86" s="47">
        <f>INDEX(LAM_L,MATCH(C86,LAM_N,0))</f>
        <v/>
      </c>
      <c r="E86" s="48">
        <f>IF($D$74=0,0,$D$47/(2*PI()*$D$74*$D$82))</f>
        <v/>
      </c>
      <c r="F86" s="43">
        <f>$D$74*(1+D86*E86)/C86</f>
        <v/>
      </c>
      <c r="G86" s="42">
        <f>IF(F86&lt;=$D$80,"CUMPLE","NO CUMPLE")</f>
        <v/>
      </c>
      <c r="J86" s="18">
        <f>IF(G86="CUMPLE",1,0)</f>
        <v/>
      </c>
      <c r="K86" s="18" t="n"/>
      <c r="L86" s="18" t="n"/>
      <c r="M86" s="18" t="n"/>
      <c r="N86" s="18" t="n"/>
      <c r="O86" s="18" t="n"/>
      <c r="P86" s="18" t="n"/>
      <c r="Q86" s="18" t="n"/>
      <c r="R86" s="18" t="n"/>
      <c r="S86" s="18" t="n"/>
      <c r="T86" s="18" t="n"/>
      <c r="U86" s="18" t="n"/>
      <c r="V86" s="18" t="n"/>
      <c r="W86" s="18" t="n"/>
      <c r="X86" s="18" t="n"/>
      <c r="Y86" s="18" t="n"/>
      <c r="Z86" s="18" t="n"/>
      <c r="AA86" s="18" t="n"/>
      <c r="AB86" s="18" t="n"/>
      <c r="AC86" s="18" t="n"/>
      <c r="AD86" s="18" t="n"/>
    </row>
    <row r="87" ht="13.5" customHeight="1">
      <c r="B87" s="33" t="inlineStr">
        <is>
          <t>2 pozos en línea</t>
        </is>
      </c>
      <c r="C87" s="46" t="n">
        <v>2</v>
      </c>
      <c r="D87" s="47">
        <f>INDEX(LAM_L,MATCH(C87,LAM_N,0))</f>
        <v/>
      </c>
      <c r="E87" s="48">
        <f>IF($D$74=0,0,$D$47/(2*PI()*$D$74*$D$82))</f>
        <v/>
      </c>
      <c r="F87" s="43">
        <f>$D$74*(1+D87*E87)/C87</f>
        <v/>
      </c>
      <c r="G87" s="42">
        <f>IF(F87&lt;=$D$80,"CUMPLE","NO CUMPLE")</f>
        <v/>
      </c>
      <c r="J87" s="18">
        <f>IF(G87="CUMPLE",1,0)</f>
        <v/>
      </c>
      <c r="K87" s="18" t="n"/>
      <c r="L87" s="18" t="n"/>
      <c r="M87" s="18" t="n"/>
      <c r="N87" s="18" t="n"/>
      <c r="O87" s="18" t="n"/>
      <c r="P87" s="18" t="n"/>
      <c r="Q87" s="18" t="n"/>
      <c r="R87" s="18" t="n"/>
      <c r="S87" s="18" t="n"/>
      <c r="T87" s="18" t="n"/>
      <c r="U87" s="18" t="n"/>
      <c r="V87" s="18" t="n"/>
      <c r="W87" s="18" t="n"/>
      <c r="X87" s="18" t="n"/>
      <c r="Y87" s="18" t="n"/>
      <c r="Z87" s="18" t="n"/>
      <c r="AA87" s="18" t="n"/>
      <c r="AB87" s="18" t="n"/>
      <c r="AC87" s="18" t="n"/>
      <c r="AD87" s="18" t="n"/>
    </row>
    <row r="88" ht="13.5" customHeight="1">
      <c r="B88" s="33" t="inlineStr">
        <is>
          <t>3 pozos en línea</t>
        </is>
      </c>
      <c r="C88" s="46" t="n">
        <v>3</v>
      </c>
      <c r="D88" s="47">
        <f>INDEX(LAM_L,MATCH(C88,LAM_N,0))</f>
        <v/>
      </c>
      <c r="E88" s="48">
        <f>IF($D$74=0,0,$D$47/(2*PI()*$D$74*$D$82))</f>
        <v/>
      </c>
      <c r="F88" s="43">
        <f>$D$74*(1+D88*E88)/C88</f>
        <v/>
      </c>
      <c r="G88" s="42">
        <f>IF(F88&lt;=$D$80,"CUMPLE","NO CUMPLE")</f>
        <v/>
      </c>
      <c r="J88" s="18">
        <f>IF(G88="CUMPLE",1,0)</f>
        <v/>
      </c>
      <c r="K88" s="18" t="n"/>
      <c r="L88" s="18" t="n"/>
      <c r="M88" s="18" t="n"/>
      <c r="N88" s="18" t="n"/>
      <c r="O88" s="18" t="n"/>
      <c r="P88" s="18" t="n"/>
      <c r="Q88" s="18" t="n"/>
      <c r="R88" s="18" t="n"/>
      <c r="S88" s="18" t="n"/>
      <c r="T88" s="18" t="n"/>
      <c r="U88" s="18" t="n"/>
      <c r="V88" s="18" t="n"/>
      <c r="W88" s="18" t="n"/>
      <c r="X88" s="18" t="n"/>
      <c r="Y88" s="18" t="n"/>
      <c r="Z88" s="18" t="n"/>
      <c r="AA88" s="18" t="n"/>
      <c r="AB88" s="18" t="n"/>
      <c r="AC88" s="18" t="n"/>
      <c r="AD88" s="18" t="n"/>
    </row>
    <row r="89" ht="13.5" customHeight="1">
      <c r="B89" s="33" t="inlineStr">
        <is>
          <t>4 pozos en línea</t>
        </is>
      </c>
      <c r="C89" s="46" t="n">
        <v>4</v>
      </c>
      <c r="D89" s="47">
        <f>INDEX(LAM_L,MATCH(C89,LAM_N,0))</f>
        <v/>
      </c>
      <c r="E89" s="48">
        <f>IF($D$74=0,0,$D$47/(2*PI()*$D$74*$D$82))</f>
        <v/>
      </c>
      <c r="F89" s="43">
        <f>$D$74*(1+D89*E89)/C89</f>
        <v/>
      </c>
      <c r="G89" s="42">
        <f>IF(F89&lt;=$D$80,"CUMPLE","NO CUMPLE")</f>
        <v/>
      </c>
      <c r="J89" s="18">
        <f>IF(G89="CUMPLE",1,0)</f>
        <v/>
      </c>
      <c r="K89" s="18" t="n"/>
      <c r="L89" s="18" t="n"/>
      <c r="M89" s="18" t="n"/>
      <c r="N89" s="18" t="n"/>
      <c r="O89" s="18" t="n"/>
      <c r="P89" s="18" t="n"/>
      <c r="Q89" s="18" t="n"/>
      <c r="R89" s="18" t="n"/>
      <c r="S89" s="18" t="n"/>
      <c r="T89" s="18" t="n"/>
      <c r="U89" s="18" t="n"/>
      <c r="V89" s="18" t="n"/>
      <c r="W89" s="18" t="n"/>
      <c r="X89" s="18" t="n"/>
      <c r="Y89" s="18" t="n"/>
      <c r="Z89" s="18" t="n"/>
      <c r="AA89" s="18" t="n"/>
      <c r="AB89" s="18" t="n"/>
      <c r="AC89" s="18" t="n"/>
      <c r="AD89" s="18" t="n"/>
    </row>
    <row r="90" ht="13.5" customHeight="1">
      <c r="B90" s="33" t="inlineStr">
        <is>
          <t>5 pozos en línea</t>
        </is>
      </c>
      <c r="C90" s="46" t="n">
        <v>5</v>
      </c>
      <c r="D90" s="47">
        <f>INDEX(LAM_L,MATCH(C90,LAM_N,0))</f>
        <v/>
      </c>
      <c r="E90" s="48">
        <f>IF($D$74=0,0,$D$47/(2*PI()*$D$74*$D$82))</f>
        <v/>
      </c>
      <c r="F90" s="43">
        <f>$D$74*(1+D90*E90)/C90</f>
        <v/>
      </c>
      <c r="G90" s="42">
        <f>IF(F90&lt;=$D$80,"CUMPLE","NO CUMPLE")</f>
        <v/>
      </c>
      <c r="J90" s="18">
        <f>IF(G90="CUMPLE",1,0)</f>
        <v/>
      </c>
      <c r="K90" s="18" t="n"/>
      <c r="L90" s="18" t="n"/>
      <c r="M90" s="18" t="n"/>
      <c r="N90" s="18" t="n"/>
      <c r="O90" s="18" t="n"/>
      <c r="P90" s="18" t="n"/>
      <c r="Q90" s="18" t="n"/>
      <c r="R90" s="18" t="n"/>
      <c r="S90" s="18" t="n"/>
      <c r="T90" s="18" t="n"/>
      <c r="U90" s="18" t="n"/>
      <c r="V90" s="18" t="n"/>
      <c r="W90" s="18" t="n"/>
      <c r="X90" s="18" t="n"/>
      <c r="Y90" s="18" t="n"/>
      <c r="Z90" s="18" t="n"/>
      <c r="AA90" s="18" t="n"/>
      <c r="AB90" s="18" t="n"/>
      <c r="AC90" s="18" t="n"/>
      <c r="AD90" s="18" t="n"/>
    </row>
    <row r="91" ht="13.5" customHeight="1">
      <c r="B91" s="33" t="inlineStr">
        <is>
          <t>6 pozos en línea</t>
        </is>
      </c>
      <c r="C91" s="46" t="n">
        <v>6</v>
      </c>
      <c r="D91" s="47">
        <f>INDEX(LAM_L,MATCH(C91,LAM_N,0))</f>
        <v/>
      </c>
      <c r="E91" s="48">
        <f>IF($D$74=0,0,$D$47/(2*PI()*$D$74*$D$82))</f>
        <v/>
      </c>
      <c r="F91" s="43">
        <f>$D$74*(1+D91*E91)/C91</f>
        <v/>
      </c>
      <c r="G91" s="42">
        <f>IF(F91&lt;=$D$80,"CUMPLE","NO CUMPLE")</f>
        <v/>
      </c>
      <c r="J91" s="18">
        <f>IF(G91="CUMPLE",1,0)</f>
        <v/>
      </c>
      <c r="K91" s="18" t="n"/>
      <c r="L91" s="18" t="n"/>
      <c r="M91" s="18" t="n"/>
      <c r="N91" s="18" t="n"/>
      <c r="O91" s="18" t="n"/>
      <c r="P91" s="18" t="n"/>
      <c r="Q91" s="18" t="n"/>
      <c r="R91" s="18" t="n"/>
      <c r="S91" s="18" t="n"/>
      <c r="T91" s="18" t="n"/>
      <c r="U91" s="18" t="n"/>
      <c r="V91" s="18" t="n"/>
      <c r="W91" s="18" t="n"/>
      <c r="X91" s="18" t="n"/>
      <c r="Y91" s="18" t="n"/>
      <c r="Z91" s="18" t="n"/>
      <c r="AA91" s="18" t="n"/>
      <c r="AB91" s="18" t="n"/>
      <c r="AC91" s="18" t="n"/>
      <c r="AD91" s="18" t="n"/>
    </row>
    <row r="92" ht="13.5" customHeight="1">
      <c r="B92" s="33" t="inlineStr">
        <is>
          <t>7 pozos en línea</t>
        </is>
      </c>
      <c r="C92" s="46" t="n">
        <v>7</v>
      </c>
      <c r="D92" s="47">
        <f>INDEX(LAM_L,MATCH(C92,LAM_N,0))</f>
        <v/>
      </c>
      <c r="E92" s="48">
        <f>IF($D$74=0,0,$D$47/(2*PI()*$D$74*$D$82))</f>
        <v/>
      </c>
      <c r="F92" s="43">
        <f>$D$74*(1+D92*E92)/C92</f>
        <v/>
      </c>
      <c r="G92" s="42">
        <f>IF(F92&lt;=$D$80,"CUMPLE","NO CUMPLE")</f>
        <v/>
      </c>
      <c r="J92" s="18">
        <f>IF(G92="CUMPLE",1,0)</f>
        <v/>
      </c>
      <c r="K92" s="18" t="n"/>
      <c r="L92" s="18" t="n"/>
      <c r="M92" s="18" t="n"/>
      <c r="N92" s="18" t="n"/>
      <c r="O92" s="18" t="n"/>
      <c r="P92" s="18" t="n"/>
      <c r="Q92" s="18" t="n"/>
      <c r="R92" s="18" t="n"/>
      <c r="S92" s="18" t="n"/>
      <c r="T92" s="18" t="n"/>
      <c r="U92" s="18" t="n"/>
      <c r="V92" s="18" t="n"/>
      <c r="W92" s="18" t="n"/>
      <c r="X92" s="18" t="n"/>
      <c r="Y92" s="18" t="n"/>
      <c r="Z92" s="18" t="n"/>
      <c r="AA92" s="18" t="n"/>
      <c r="AB92" s="18" t="n"/>
      <c r="AC92" s="18" t="n"/>
      <c r="AD92" s="18" t="n"/>
    </row>
    <row r="93" ht="13.5" customHeight="1">
      <c r="B93" s="33" t="inlineStr">
        <is>
          <t>8 pozos en línea</t>
        </is>
      </c>
      <c r="C93" s="46" t="n">
        <v>8</v>
      </c>
      <c r="D93" s="47">
        <f>INDEX(LAM_L,MATCH(C93,LAM_N,0))</f>
        <v/>
      </c>
      <c r="E93" s="48">
        <f>IF($D$74=0,0,$D$47/(2*PI()*$D$74*$D$82))</f>
        <v/>
      </c>
      <c r="F93" s="43">
        <f>$D$74*(1+D93*E93)/C93</f>
        <v/>
      </c>
      <c r="G93" s="42">
        <f>IF(F93&lt;=$D$80,"CUMPLE","NO CUMPLE")</f>
        <v/>
      </c>
      <c r="J93" s="18">
        <f>IF(G93="CUMPLE",1,0)</f>
        <v/>
      </c>
      <c r="K93" s="18" t="n"/>
      <c r="L93" s="18" t="n"/>
      <c r="M93" s="18" t="n"/>
      <c r="N93" s="18" t="n"/>
      <c r="O93" s="18" t="n"/>
      <c r="P93" s="18" t="n"/>
      <c r="Q93" s="18" t="n"/>
      <c r="R93" s="18" t="n"/>
      <c r="S93" s="18" t="n"/>
      <c r="T93" s="18" t="n"/>
      <c r="U93" s="18" t="n"/>
      <c r="V93" s="18" t="n"/>
      <c r="W93" s="18" t="n"/>
      <c r="X93" s="18" t="n"/>
      <c r="Y93" s="18" t="n"/>
      <c r="Z93" s="18" t="n"/>
      <c r="AA93" s="18" t="n"/>
      <c r="AB93" s="18" t="n"/>
      <c r="AC93" s="18" t="n"/>
      <c r="AD93" s="18" t="n"/>
    </row>
    <row r="94" ht="13.5" customHeight="1">
      <c r="B94" s="33" t="inlineStr">
        <is>
          <t>9 pozos en línea</t>
        </is>
      </c>
      <c r="C94" s="46" t="n">
        <v>9</v>
      </c>
      <c r="D94" s="47">
        <f>INDEX(LAM_L,MATCH(C94,LAM_N,0))</f>
        <v/>
      </c>
      <c r="E94" s="48">
        <f>IF($D$74=0,0,$D$47/(2*PI()*$D$74*$D$82))</f>
        <v/>
      </c>
      <c r="F94" s="43">
        <f>$D$74*(1+D94*E94)/C94</f>
        <v/>
      </c>
      <c r="G94" s="42">
        <f>IF(F94&lt;=$D$80,"CUMPLE","NO CUMPLE")</f>
        <v/>
      </c>
      <c r="J94" s="18">
        <f>IF(G94="CUMPLE",1,0)</f>
        <v/>
      </c>
      <c r="K94" s="18" t="n"/>
      <c r="L94" s="18" t="n"/>
      <c r="M94" s="18" t="n"/>
      <c r="N94" s="18" t="n"/>
      <c r="O94" s="18" t="n"/>
      <c r="P94" s="18" t="n"/>
      <c r="Q94" s="18" t="n"/>
      <c r="R94" s="18" t="n"/>
      <c r="S94" s="18" t="n"/>
      <c r="T94" s="18" t="n"/>
      <c r="U94" s="18" t="n"/>
      <c r="V94" s="18" t="n"/>
      <c r="W94" s="18" t="n"/>
      <c r="X94" s="18" t="n"/>
      <c r="Y94" s="18" t="n"/>
      <c r="Z94" s="18" t="n"/>
      <c r="AA94" s="18" t="n"/>
      <c r="AB94" s="18" t="n"/>
      <c r="AC94" s="18" t="n"/>
      <c r="AD94" s="18" t="n"/>
    </row>
    <row r="95" ht="13.5" customHeight="1">
      <c r="B95" s="33" t="inlineStr">
        <is>
          <t>10 pozos en línea</t>
        </is>
      </c>
      <c r="C95" s="46" t="n">
        <v>10</v>
      </c>
      <c r="D95" s="47">
        <f>INDEX(LAM_L,MATCH(C95,LAM_N,0))</f>
        <v/>
      </c>
      <c r="E95" s="48">
        <f>IF($D$74=0,0,$D$47/(2*PI()*$D$74*$D$82))</f>
        <v/>
      </c>
      <c r="F95" s="43">
        <f>$D$74*(1+D95*E95)/C95</f>
        <v/>
      </c>
      <c r="G95" s="42">
        <f>IF(F95&lt;=$D$80,"CUMPLE","NO CUMPLE")</f>
        <v/>
      </c>
      <c r="J95" s="18">
        <f>IF(G95="CUMPLE",1,0)</f>
        <v/>
      </c>
      <c r="K95" s="18" t="n"/>
      <c r="L95" s="18" t="n"/>
      <c r="M95" s="18" t="n"/>
      <c r="N95" s="18" t="n"/>
      <c r="O95" s="18" t="n"/>
      <c r="P95" s="18" t="n"/>
      <c r="Q95" s="18" t="n"/>
      <c r="R95" s="18" t="n"/>
      <c r="S95" s="18" t="n"/>
      <c r="T95" s="18" t="n"/>
      <c r="U95" s="18" t="n"/>
      <c r="V95" s="18" t="n"/>
      <c r="W95" s="18" t="n"/>
      <c r="X95" s="18" t="n"/>
      <c r="Y95" s="18" t="n"/>
      <c r="Z95" s="18" t="n"/>
      <c r="AA95" s="18" t="n"/>
      <c r="AB95" s="18" t="n"/>
      <c r="AC95" s="18" t="n"/>
      <c r="AD95" s="18" t="n"/>
    </row>
    <row r="96" ht="13.5" customHeight="1">
      <c r="B96" s="39" t="inlineStr">
        <is>
          <t>NÚMERO DE POZOS NECESARIOS</t>
        </is>
      </c>
      <c r="C96" s="26" t="inlineStr">
        <is>
          <t>n</t>
        </is>
      </c>
      <c r="D96" s="49">
        <f>IF(OR($D$47&lt;=0,$D$80&lt;=0,AND(NOT($D$60),8*$D$53/$D$63&lt;=3)),"Revise datos",IFERROR(MATCH(1,$J$86:$J$95,0),"Más de 10"))</f>
        <v/>
      </c>
      <c r="E96" s="30" t="inlineStr">
        <is>
          <t>pozos</t>
        </is>
      </c>
      <c r="J96" s="18" t="n"/>
      <c r="K96" s="18" t="n"/>
      <c r="L96" s="18" t="n"/>
      <c r="M96" s="18" t="n"/>
      <c r="N96" s="18" t="n"/>
      <c r="O96" s="18" t="n"/>
      <c r="P96" s="18" t="n"/>
      <c r="Q96" s="18" t="n"/>
      <c r="R96" s="18" t="n"/>
      <c r="S96" s="18" t="n"/>
      <c r="T96" s="18" t="n"/>
      <c r="U96" s="18" t="n"/>
      <c r="V96" s="18" t="n"/>
      <c r="W96" s="18" t="n"/>
      <c r="X96" s="18" t="n"/>
      <c r="Y96" s="18" t="n"/>
      <c r="Z96" s="18" t="n"/>
      <c r="AA96" s="18" t="n"/>
      <c r="AB96" s="18" t="n"/>
      <c r="AC96" s="18" t="n"/>
      <c r="AD96" s="18" t="n"/>
    </row>
    <row r="97" ht="13.5" customHeight="1">
      <c r="B97" s="39" t="inlineStr">
        <is>
          <t>Resistencia del sistema con esos pozos</t>
        </is>
      </c>
      <c r="C97" s="26" t="inlineStr">
        <is>
          <t>Rn</t>
        </is>
      </c>
      <c r="D97" s="44">
        <f>IF(ISNUMBER($D$96),INDEX($F$86:$F$95,$D$96),$F$95)</f>
        <v/>
      </c>
      <c r="E97" s="30" t="inlineStr">
        <is>
          <t>Ω</t>
        </is>
      </c>
      <c r="J97" s="18" t="n"/>
      <c r="K97" s="18" t="n"/>
      <c r="L97" s="18" t="n"/>
      <c r="M97" s="18" t="n"/>
      <c r="N97" s="18" t="n"/>
      <c r="O97" s="18" t="n"/>
      <c r="P97" s="18" t="n"/>
      <c r="Q97" s="18" t="n"/>
      <c r="R97" s="18" t="n"/>
      <c r="S97" s="18" t="n"/>
      <c r="T97" s="18" t="n"/>
      <c r="U97" s="18" t="n"/>
      <c r="V97" s="18" t="n"/>
      <c r="W97" s="18" t="n"/>
      <c r="X97" s="18" t="n"/>
      <c r="Y97" s="18" t="n"/>
      <c r="Z97" s="18" t="n"/>
      <c r="AA97" s="18" t="n"/>
      <c r="AB97" s="18" t="n"/>
      <c r="AC97" s="18" t="n"/>
      <c r="AD97" s="18" t="n"/>
    </row>
    <row r="98" ht="13.5" customHeight="1">
      <c r="B98" s="9" t="inlineStr">
        <is>
          <t>Resistencia del sistema ≤ resistencia objetivo</t>
        </is>
      </c>
      <c r="C98" s="42">
        <f>IF(ISNUMBER($D$96),"CUMPLE","NO CUMPLE")</f>
        <v/>
      </c>
      <c r="D98" s="38" t="n"/>
      <c r="E98" s="38" t="n"/>
      <c r="J98" s="18" t="n"/>
      <c r="K98" s="18" t="n"/>
      <c r="L98" s="18" t="n"/>
      <c r="M98" s="18" t="n"/>
      <c r="N98" s="18" t="n"/>
      <c r="O98" s="18" t="n"/>
      <c r="P98" s="18" t="n"/>
      <c r="Q98" s="18" t="n"/>
      <c r="R98" s="18" t="n"/>
      <c r="S98" s="18" t="n"/>
      <c r="T98" s="18" t="n"/>
      <c r="U98" s="18" t="n"/>
      <c r="V98" s="18" t="n"/>
      <c r="W98" s="18" t="n"/>
      <c r="X98" s="18" t="n"/>
      <c r="Y98" s="18" t="n"/>
      <c r="Z98" s="18" t="n"/>
      <c r="AA98" s="18" t="n"/>
      <c r="AB98" s="18" t="n"/>
      <c r="AC98" s="18" t="n"/>
      <c r="AD98" s="18" t="n"/>
    </row>
    <row r="99" ht="13.5" customHeight="1">
      <c r="B99" s="9" t="inlineStr">
        <is>
          <t>Volumen total de relleno</t>
        </is>
      </c>
      <c r="C99" s="26" t="inlineStr"/>
      <c r="D99" s="43">
        <f>IF(ISNUMBER($D$96),$D$96,10)*$D$68</f>
        <v/>
      </c>
      <c r="E99" s="30" t="inlineStr">
        <is>
          <t>m³</t>
        </is>
      </c>
      <c r="J99" s="18" t="n"/>
      <c r="K99" s="18" t="n"/>
      <c r="L99" s="18" t="n"/>
      <c r="M99" s="18" t="n"/>
      <c r="N99" s="18" t="n"/>
      <c r="O99" s="18" t="n"/>
      <c r="P99" s="18" t="n"/>
      <c r="Q99" s="18" t="n"/>
      <c r="R99" s="18" t="n"/>
      <c r="S99" s="18" t="n"/>
      <c r="T99" s="18" t="n"/>
      <c r="U99" s="18" t="n"/>
      <c r="V99" s="18" t="n"/>
      <c r="W99" s="18" t="n"/>
      <c r="X99" s="18" t="n"/>
      <c r="Y99" s="18" t="n"/>
      <c r="Z99" s="18" t="n"/>
      <c r="AA99" s="18" t="n"/>
      <c r="AB99" s="18" t="n"/>
      <c r="AC99" s="18" t="n"/>
      <c r="AD99" s="18" t="n"/>
    </row>
    <row r="100" ht="13.5" customHeight="1">
      <c r="B100" s="9" t="inlineStr">
        <is>
          <t>Dosis totales de gel químico</t>
        </is>
      </c>
      <c r="C100" s="26" t="inlineStr"/>
      <c r="D100" s="36">
        <f>IF(ISNUMBER($D$96),$D$96,10)*$D$69</f>
        <v/>
      </c>
      <c r="E100" s="30" t="inlineStr">
        <is>
          <t>dosis</t>
        </is>
      </c>
      <c r="J100" s="18" t="n"/>
      <c r="K100" s="18" t="n"/>
      <c r="L100" s="18" t="n"/>
      <c r="M100" s="18" t="n"/>
      <c r="N100" s="18" t="n"/>
      <c r="O100" s="18" t="n"/>
      <c r="P100" s="18" t="n"/>
      <c r="Q100" s="18" t="n"/>
      <c r="R100" s="18" t="n"/>
      <c r="S100" s="18" t="n"/>
      <c r="T100" s="18" t="n"/>
      <c r="U100" s="18" t="n"/>
      <c r="V100" s="18" t="n"/>
      <c r="W100" s="18" t="n"/>
      <c r="X100" s="18" t="n"/>
      <c r="Y100" s="18" t="n"/>
      <c r="Z100" s="18" t="n"/>
      <c r="AA100" s="18" t="n"/>
      <c r="AB100" s="18" t="n"/>
      <c r="AC100" s="18" t="n"/>
      <c r="AD100" s="18" t="n"/>
    </row>
    <row r="101" ht="34" customHeight="1">
      <c r="B101" s="50">
        <f>IF($D$96="Revise datos","Revise los datos: lecturas de Wenner (o resistividad manual), resistencia objetivo y relación entre la varilla y el pozo.",IF(ISNUMBER($D$96),"RESULTADO: "&amp;$D$96&amp;IF($D$96=1," pozo"," pozos en línea")&amp;" con varilla "&amp;$D$50&amp;" de "&amp;FIXED($D$53,2,TRUE)&amp;" m y relleno «"&amp;$D$58&amp;"»"&amp;IF($D$96&gt;1,", separados "&amp;FIXED($D$82,1,TRUE)&amp;" m","")&amp;": R = "&amp;FIXED($D$97,1)&amp;" Ω ≤ "&amp;FIXED($D$80,1)&amp;" Ω."&amp;IF(AND($C$55="CUMPLE",$C$56="CUMPLE",$C$57="CUMPLE"),""," AVISO: la varilla no cumple la Regla 060-702."),"NO SE ALCANZA la resistencia objetivo ni con 10 pozos: use un relleno de menor resistividad, una varilla más larga, mayor separación o diseñe una malla."))</f>
        <v/>
      </c>
      <c r="C101" s="38" t="n"/>
      <c r="D101" s="38" t="n"/>
      <c r="E101" s="38" t="n"/>
      <c r="F101" s="38" t="n"/>
      <c r="G101" s="38" t="n"/>
      <c r="H101" s="38" t="n"/>
      <c r="J101" s="18" t="n"/>
      <c r="K101" s="18" t="n"/>
      <c r="L101" s="18" t="n"/>
      <c r="M101" s="18" t="n"/>
      <c r="N101" s="18" t="n"/>
      <c r="O101" s="18" t="n"/>
      <c r="P101" s="18" t="n"/>
      <c r="Q101" s="18" t="n"/>
      <c r="R101" s="18" t="n"/>
      <c r="S101" s="18" t="n"/>
      <c r="T101" s="18" t="n"/>
      <c r="U101" s="18" t="n"/>
      <c r="V101" s="18" t="n"/>
      <c r="W101" s="18" t="n"/>
      <c r="X101" s="18" t="n"/>
      <c r="Y101" s="18" t="n"/>
      <c r="Z101" s="18" t="n"/>
      <c r="AA101" s="18" t="n"/>
      <c r="AB101" s="18" t="n"/>
      <c r="AC101" s="18" t="n"/>
      <c r="AD101" s="18" t="n"/>
    </row>
    <row r="102">
      <c r="J102" s="18" t="n"/>
      <c r="K102" s="18" t="n"/>
      <c r="L102" s="18" t="n"/>
      <c r="M102" s="18" t="n"/>
      <c r="N102" s="18" t="n"/>
      <c r="O102" s="18" t="n"/>
      <c r="P102" s="18" t="n"/>
      <c r="Q102" s="18" t="n"/>
      <c r="R102" s="18" t="n"/>
      <c r="S102" s="18" t="n"/>
      <c r="T102" s="18" t="n"/>
      <c r="U102" s="18" t="n"/>
      <c r="V102" s="18" t="n"/>
      <c r="W102" s="18" t="n"/>
      <c r="X102" s="18" t="n"/>
      <c r="Y102" s="18" t="n"/>
      <c r="Z102" s="18" t="n"/>
      <c r="AA102" s="18" t="n"/>
      <c r="AB102" s="18" t="n"/>
      <c r="AC102" s="18" t="n"/>
      <c r="AD102" s="18" t="n"/>
    </row>
    <row r="103" ht="17" customHeight="1">
      <c r="B103" s="25" t="inlineStr">
        <is>
          <t>6. COMPARACIÓN DE RELLENOS (mismo terreno, varilla, pozo y separación)</t>
        </is>
      </c>
      <c r="J103" s="18" t="n"/>
      <c r="K103" s="18" t="n"/>
      <c r="L103" s="18" t="n"/>
      <c r="M103" s="18" t="n"/>
      <c r="N103" s="18" t="n"/>
      <c r="O103" s="18" t="n"/>
      <c r="P103" s="18" t="n"/>
      <c r="Q103" s="18" t="n"/>
      <c r="R103" s="18" t="n"/>
      <c r="S103" s="18" t="n"/>
      <c r="T103" s="18" t="n"/>
      <c r="U103" s="18" t="n"/>
      <c r="V103" s="18" t="n"/>
      <c r="W103" s="18" t="n"/>
      <c r="X103" s="18" t="n"/>
      <c r="Y103" s="18" t="n"/>
      <c r="Z103" s="18" t="n"/>
      <c r="AA103" s="18" t="n"/>
      <c r="AB103" s="18" t="n"/>
      <c r="AC103" s="18" t="n"/>
      <c r="AD103" s="18" t="n"/>
    </row>
    <row r="104" ht="26" customHeight="1">
      <c r="B104" s="32" t="inlineStr">
        <is>
          <t>Relleno o tratamiento</t>
        </is>
      </c>
      <c r="C104" s="32" t="inlineStr">
        <is>
          <t>ρc (Ω·m)</t>
        </is>
      </c>
      <c r="D104" s="32" t="inlineStr">
        <is>
          <t>R 1 pozo (Ω)</t>
        </is>
      </c>
      <c r="E104" s="32" t="inlineStr">
        <is>
          <t>R 2 pozos (Ω)</t>
        </is>
      </c>
      <c r="F104" s="32" t="inlineStr">
        <is>
          <t>R 3 pozos (Ω)</t>
        </is>
      </c>
      <c r="G104" s="32" t="inlineStr">
        <is>
          <t>Pozos necesarios</t>
        </is>
      </c>
      <c r="H104" s="32" t="inlineStr">
        <is>
          <t>R con esos pozos (Ω)</t>
        </is>
      </c>
      <c r="J104" s="18" t="n"/>
      <c r="K104" s="18" t="n"/>
      <c r="L104" s="18" t="n"/>
      <c r="M104" s="18" t="n"/>
      <c r="N104" s="18" t="n"/>
      <c r="O104" s="18" t="n"/>
      <c r="P104" s="18" t="n"/>
      <c r="Q104" s="18" t="n"/>
      <c r="R104" s="18" t="n"/>
      <c r="S104" s="18" t="n"/>
      <c r="T104" s="18" t="n"/>
      <c r="U104" s="18" t="n"/>
      <c r="V104" s="18" t="n"/>
      <c r="W104" s="18" t="n"/>
      <c r="X104" s="18" t="n"/>
      <c r="Y104" s="18" t="n"/>
      <c r="Z104" s="18" t="n"/>
      <c r="AA104" s="18" t="n"/>
      <c r="AB104" s="18" t="n"/>
      <c r="AC104" s="18" t="n"/>
      <c r="AD104" s="18" t="n"/>
    </row>
    <row r="105" ht="24" customHeight="1">
      <c r="B105" s="33" t="inlineStr">
        <is>
          <t>Sin pozo: varilla hincada en terreno natural</t>
        </is>
      </c>
      <c r="C105" s="47">
        <f>$D$47</f>
        <v/>
      </c>
      <c r="D105" s="47">
        <f>K105</f>
        <v/>
      </c>
      <c r="E105" s="47">
        <f>L105</f>
        <v/>
      </c>
      <c r="F105" s="47">
        <f>M105</f>
        <v/>
      </c>
      <c r="G105" s="36">
        <f>IFERROR(MATCH(1,U105:AD105,0),"&gt; 10")</f>
        <v/>
      </c>
      <c r="H105" s="43">
        <f>IF(ISNUMBER(G105),INDEX(K105:T105,G105),"—")</f>
        <v/>
      </c>
      <c r="J105" s="18" t="n"/>
      <c r="K105" s="51">
        <f>($D$73)/1+0.0*$D$47/(2*PI()*$D$82*1)</f>
        <v/>
      </c>
      <c r="L105" s="51">
        <f>($D$73)/2+1.0*$D$47/(2*PI()*$D$82*2)</f>
        <v/>
      </c>
      <c r="M105" s="51">
        <f>($D$73)/3+1.66*$D$47/(2*PI()*$D$82*3)</f>
        <v/>
      </c>
      <c r="N105" s="51">
        <f>($D$73)/4+2.15*$D$47/(2*PI()*$D$82*4)</f>
        <v/>
      </c>
      <c r="O105" s="51">
        <f>($D$73)/5+2.54*$D$47/(2*PI()*$D$82*5)</f>
        <v/>
      </c>
      <c r="P105" s="51">
        <f>($D$73)/6+2.87*$D$47/(2*PI()*$D$82*6)</f>
        <v/>
      </c>
      <c r="Q105" s="51">
        <f>($D$73)/7+3.15*$D$47/(2*PI()*$D$82*7)</f>
        <v/>
      </c>
      <c r="R105" s="51">
        <f>($D$73)/8+3.39*$D$47/(2*PI()*$D$82*8)</f>
        <v/>
      </c>
      <c r="S105" s="51">
        <f>($D$73)/9+3.61*$D$47/(2*PI()*$D$82*9)</f>
        <v/>
      </c>
      <c r="T105" s="51">
        <f>($D$73)/10+3.81*$D$47/(2*PI()*$D$82*10)</f>
        <v/>
      </c>
      <c r="U105" s="18">
        <f>IF(K105&lt;=$D$80,1,0)</f>
        <v/>
      </c>
      <c r="V105" s="18">
        <f>IF(L105&lt;=$D$80,1,0)</f>
        <v/>
      </c>
      <c r="W105" s="18">
        <f>IF(M105&lt;=$D$80,1,0)</f>
        <v/>
      </c>
      <c r="X105" s="18">
        <f>IF(N105&lt;=$D$80,1,0)</f>
        <v/>
      </c>
      <c r="Y105" s="18">
        <f>IF(O105&lt;=$D$80,1,0)</f>
        <v/>
      </c>
      <c r="Z105" s="18">
        <f>IF(P105&lt;=$D$80,1,0)</f>
        <v/>
      </c>
      <c r="AA105" s="18">
        <f>IF(Q105&lt;=$D$80,1,0)</f>
        <v/>
      </c>
      <c r="AB105" s="18">
        <f>IF(R105&lt;=$D$80,1,0)</f>
        <v/>
      </c>
      <c r="AC105" s="18">
        <f>IF(S105&lt;=$D$80,1,0)</f>
        <v/>
      </c>
      <c r="AD105" s="18">
        <f>IF(T105&lt;=$D$80,1,0)</f>
        <v/>
      </c>
    </row>
    <row r="106" ht="13.5" customHeight="1">
      <c r="B106" s="33" t="inlineStr">
        <is>
          <t>Tierra de cultivo cernida, sin aditivos</t>
        </is>
      </c>
      <c r="C106" s="47">
        <f>INDEX(TRAT_RHO,2)</f>
        <v/>
      </c>
      <c r="D106" s="47">
        <f>K106</f>
        <v/>
      </c>
      <c r="E106" s="47">
        <f>L106</f>
        <v/>
      </c>
      <c r="F106" s="47">
        <f>M106</f>
        <v/>
      </c>
      <c r="G106" s="36">
        <f>IFERROR(MATCH(1,U106:AD106,0),"&gt; 10")</f>
        <v/>
      </c>
      <c r="H106" s="43">
        <f>IF(ISNUMBER(G106),INDEX(K106:T106,G106),"—")</f>
        <v/>
      </c>
      <c r="J106" s="18" t="n"/>
      <c r="K106" s="51">
        <f>((C106*LN($D$63/$D$51)+$D$47*(LN(8*$D$53/$D$63)-1))/(2*PI()*$D$53))/1+0.0*$D$47/(2*PI()*$D$82*1)</f>
        <v/>
      </c>
      <c r="L106" s="51">
        <f>((C106*LN($D$63/$D$51)+$D$47*(LN(8*$D$53/$D$63)-1))/(2*PI()*$D$53))/2+1.0*$D$47/(2*PI()*$D$82*2)</f>
        <v/>
      </c>
      <c r="M106" s="51">
        <f>((C106*LN($D$63/$D$51)+$D$47*(LN(8*$D$53/$D$63)-1))/(2*PI()*$D$53))/3+1.66*$D$47/(2*PI()*$D$82*3)</f>
        <v/>
      </c>
      <c r="N106" s="51">
        <f>((C106*LN($D$63/$D$51)+$D$47*(LN(8*$D$53/$D$63)-1))/(2*PI()*$D$53))/4+2.15*$D$47/(2*PI()*$D$82*4)</f>
        <v/>
      </c>
      <c r="O106" s="51">
        <f>((C106*LN($D$63/$D$51)+$D$47*(LN(8*$D$53/$D$63)-1))/(2*PI()*$D$53))/5+2.54*$D$47/(2*PI()*$D$82*5)</f>
        <v/>
      </c>
      <c r="P106" s="51">
        <f>((C106*LN($D$63/$D$51)+$D$47*(LN(8*$D$53/$D$63)-1))/(2*PI()*$D$53))/6+2.87*$D$47/(2*PI()*$D$82*6)</f>
        <v/>
      </c>
      <c r="Q106" s="51">
        <f>((C106*LN($D$63/$D$51)+$D$47*(LN(8*$D$53/$D$63)-1))/(2*PI()*$D$53))/7+3.15*$D$47/(2*PI()*$D$82*7)</f>
        <v/>
      </c>
      <c r="R106" s="51">
        <f>((C106*LN($D$63/$D$51)+$D$47*(LN(8*$D$53/$D$63)-1))/(2*PI()*$D$53))/8+3.39*$D$47/(2*PI()*$D$82*8)</f>
        <v/>
      </c>
      <c r="S106" s="51">
        <f>((C106*LN($D$63/$D$51)+$D$47*(LN(8*$D$53/$D$63)-1))/(2*PI()*$D$53))/9+3.61*$D$47/(2*PI()*$D$82*9)</f>
        <v/>
      </c>
      <c r="T106" s="51">
        <f>((C106*LN($D$63/$D$51)+$D$47*(LN(8*$D$53/$D$63)-1))/(2*PI()*$D$53))/10+3.81*$D$47/(2*PI()*$D$82*10)</f>
        <v/>
      </c>
      <c r="U106" s="18">
        <f>IF(K106&lt;=$D$80,1,0)</f>
        <v/>
      </c>
      <c r="V106" s="18">
        <f>IF(L106&lt;=$D$80,1,0)</f>
        <v/>
      </c>
      <c r="W106" s="18">
        <f>IF(M106&lt;=$D$80,1,0)</f>
        <v/>
      </c>
      <c r="X106" s="18">
        <f>IF(N106&lt;=$D$80,1,0)</f>
        <v/>
      </c>
      <c r="Y106" s="18">
        <f>IF(O106&lt;=$D$80,1,0)</f>
        <v/>
      </c>
      <c r="Z106" s="18">
        <f>IF(P106&lt;=$D$80,1,0)</f>
        <v/>
      </c>
      <c r="AA106" s="18">
        <f>IF(Q106&lt;=$D$80,1,0)</f>
        <v/>
      </c>
      <c r="AB106" s="18">
        <f>IF(R106&lt;=$D$80,1,0)</f>
        <v/>
      </c>
      <c r="AC106" s="18">
        <f>IF(S106&lt;=$D$80,1,0)</f>
        <v/>
      </c>
      <c r="AD106" s="18">
        <f>IF(T106&lt;=$D$80,1,0)</f>
        <v/>
      </c>
    </row>
    <row r="107" ht="24" customHeight="1">
      <c r="B107" s="33" t="inlineStr">
        <is>
          <t>Tierra de cultivo + 1 dosis de gel químico por m³</t>
        </is>
      </c>
      <c r="C107" s="47">
        <f>INDEX(TRAT_RHO,3)</f>
        <v/>
      </c>
      <c r="D107" s="47">
        <f>K107</f>
        <v/>
      </c>
      <c r="E107" s="47">
        <f>L107</f>
        <v/>
      </c>
      <c r="F107" s="47">
        <f>M107</f>
        <v/>
      </c>
      <c r="G107" s="36">
        <f>IFERROR(MATCH(1,U107:AD107,0),"&gt; 10")</f>
        <v/>
      </c>
      <c r="H107" s="43">
        <f>IF(ISNUMBER(G107),INDEX(K107:T107,G107),"—")</f>
        <v/>
      </c>
      <c r="J107" s="18" t="n"/>
      <c r="K107" s="51">
        <f>((C107*LN($D$63/$D$51)+$D$47*(LN(8*$D$53/$D$63)-1))/(2*PI()*$D$53))/1+0.0*$D$47/(2*PI()*$D$82*1)</f>
        <v/>
      </c>
      <c r="L107" s="51">
        <f>((C107*LN($D$63/$D$51)+$D$47*(LN(8*$D$53/$D$63)-1))/(2*PI()*$D$53))/2+1.0*$D$47/(2*PI()*$D$82*2)</f>
        <v/>
      </c>
      <c r="M107" s="51">
        <f>((C107*LN($D$63/$D$51)+$D$47*(LN(8*$D$53/$D$63)-1))/(2*PI()*$D$53))/3+1.66*$D$47/(2*PI()*$D$82*3)</f>
        <v/>
      </c>
      <c r="N107" s="51">
        <f>((C107*LN($D$63/$D$51)+$D$47*(LN(8*$D$53/$D$63)-1))/(2*PI()*$D$53))/4+2.15*$D$47/(2*PI()*$D$82*4)</f>
        <v/>
      </c>
      <c r="O107" s="51">
        <f>((C107*LN($D$63/$D$51)+$D$47*(LN(8*$D$53/$D$63)-1))/(2*PI()*$D$53))/5+2.54*$D$47/(2*PI()*$D$82*5)</f>
        <v/>
      </c>
      <c r="P107" s="51">
        <f>((C107*LN($D$63/$D$51)+$D$47*(LN(8*$D$53/$D$63)-1))/(2*PI()*$D$53))/6+2.87*$D$47/(2*PI()*$D$82*6)</f>
        <v/>
      </c>
      <c r="Q107" s="51">
        <f>((C107*LN($D$63/$D$51)+$D$47*(LN(8*$D$53/$D$63)-1))/(2*PI()*$D$53))/7+3.15*$D$47/(2*PI()*$D$82*7)</f>
        <v/>
      </c>
      <c r="R107" s="51">
        <f>((C107*LN($D$63/$D$51)+$D$47*(LN(8*$D$53/$D$63)-1))/(2*PI()*$D$53))/8+3.39*$D$47/(2*PI()*$D$82*8)</f>
        <v/>
      </c>
      <c r="S107" s="51">
        <f>((C107*LN($D$63/$D$51)+$D$47*(LN(8*$D$53/$D$63)-1))/(2*PI()*$D$53))/9+3.61*$D$47/(2*PI()*$D$82*9)</f>
        <v/>
      </c>
      <c r="T107" s="51">
        <f>((C107*LN($D$63/$D$51)+$D$47*(LN(8*$D$53/$D$63)-1))/(2*PI()*$D$53))/10+3.81*$D$47/(2*PI()*$D$82*10)</f>
        <v/>
      </c>
      <c r="U107" s="18">
        <f>IF(K107&lt;=$D$80,1,0)</f>
        <v/>
      </c>
      <c r="V107" s="18">
        <f>IF(L107&lt;=$D$80,1,0)</f>
        <v/>
      </c>
      <c r="W107" s="18">
        <f>IF(M107&lt;=$D$80,1,0)</f>
        <v/>
      </c>
      <c r="X107" s="18">
        <f>IF(N107&lt;=$D$80,1,0)</f>
        <v/>
      </c>
      <c r="Y107" s="18">
        <f>IF(O107&lt;=$D$80,1,0)</f>
        <v/>
      </c>
      <c r="Z107" s="18">
        <f>IF(P107&lt;=$D$80,1,0)</f>
        <v/>
      </c>
      <c r="AA107" s="18">
        <f>IF(Q107&lt;=$D$80,1,0)</f>
        <v/>
      </c>
      <c r="AB107" s="18">
        <f>IF(R107&lt;=$D$80,1,0)</f>
        <v/>
      </c>
      <c r="AC107" s="18">
        <f>IF(S107&lt;=$D$80,1,0)</f>
        <v/>
      </c>
      <c r="AD107" s="18">
        <f>IF(T107&lt;=$D$80,1,0)</f>
        <v/>
      </c>
    </row>
    <row r="108" ht="24" customHeight="1">
      <c r="B108" s="33" t="inlineStr">
        <is>
          <t>Tierra de cultivo + 2 dosis de gel químico por m³</t>
        </is>
      </c>
      <c r="C108" s="47">
        <f>INDEX(TRAT_RHO,4)</f>
        <v/>
      </c>
      <c r="D108" s="47">
        <f>K108</f>
        <v/>
      </c>
      <c r="E108" s="47">
        <f>L108</f>
        <v/>
      </c>
      <c r="F108" s="47">
        <f>M108</f>
        <v/>
      </c>
      <c r="G108" s="36">
        <f>IFERROR(MATCH(1,U108:AD108,0),"&gt; 10")</f>
        <v/>
      </c>
      <c r="H108" s="43">
        <f>IF(ISNUMBER(G108),INDEX(K108:T108,G108),"—")</f>
        <v/>
      </c>
      <c r="J108" s="18" t="n"/>
      <c r="K108" s="51">
        <f>((C108*LN($D$63/$D$51)+$D$47*(LN(8*$D$53/$D$63)-1))/(2*PI()*$D$53))/1+0.0*$D$47/(2*PI()*$D$82*1)</f>
        <v/>
      </c>
      <c r="L108" s="51">
        <f>((C108*LN($D$63/$D$51)+$D$47*(LN(8*$D$53/$D$63)-1))/(2*PI()*$D$53))/2+1.0*$D$47/(2*PI()*$D$82*2)</f>
        <v/>
      </c>
      <c r="M108" s="51">
        <f>((C108*LN($D$63/$D$51)+$D$47*(LN(8*$D$53/$D$63)-1))/(2*PI()*$D$53))/3+1.66*$D$47/(2*PI()*$D$82*3)</f>
        <v/>
      </c>
      <c r="N108" s="51">
        <f>((C108*LN($D$63/$D$51)+$D$47*(LN(8*$D$53/$D$63)-1))/(2*PI()*$D$53))/4+2.15*$D$47/(2*PI()*$D$82*4)</f>
        <v/>
      </c>
      <c r="O108" s="51">
        <f>((C108*LN($D$63/$D$51)+$D$47*(LN(8*$D$53/$D$63)-1))/(2*PI()*$D$53))/5+2.54*$D$47/(2*PI()*$D$82*5)</f>
        <v/>
      </c>
      <c r="P108" s="51">
        <f>((C108*LN($D$63/$D$51)+$D$47*(LN(8*$D$53/$D$63)-1))/(2*PI()*$D$53))/6+2.87*$D$47/(2*PI()*$D$82*6)</f>
        <v/>
      </c>
      <c r="Q108" s="51">
        <f>((C108*LN($D$63/$D$51)+$D$47*(LN(8*$D$53/$D$63)-1))/(2*PI()*$D$53))/7+3.15*$D$47/(2*PI()*$D$82*7)</f>
        <v/>
      </c>
      <c r="R108" s="51">
        <f>((C108*LN($D$63/$D$51)+$D$47*(LN(8*$D$53/$D$63)-1))/(2*PI()*$D$53))/8+3.39*$D$47/(2*PI()*$D$82*8)</f>
        <v/>
      </c>
      <c r="S108" s="51">
        <f>((C108*LN($D$63/$D$51)+$D$47*(LN(8*$D$53/$D$63)-1))/(2*PI()*$D$53))/9+3.61*$D$47/(2*PI()*$D$82*9)</f>
        <v/>
      </c>
      <c r="T108" s="51">
        <f>((C108*LN($D$63/$D$51)+$D$47*(LN(8*$D$53/$D$63)-1))/(2*PI()*$D$53))/10+3.81*$D$47/(2*PI()*$D$82*10)</f>
        <v/>
      </c>
      <c r="U108" s="18">
        <f>IF(K108&lt;=$D$80,1,0)</f>
        <v/>
      </c>
      <c r="V108" s="18">
        <f>IF(L108&lt;=$D$80,1,0)</f>
        <v/>
      </c>
      <c r="W108" s="18">
        <f>IF(M108&lt;=$D$80,1,0)</f>
        <v/>
      </c>
      <c r="X108" s="18">
        <f>IF(N108&lt;=$D$80,1,0)</f>
        <v/>
      </c>
      <c r="Y108" s="18">
        <f>IF(O108&lt;=$D$80,1,0)</f>
        <v/>
      </c>
      <c r="Z108" s="18">
        <f>IF(P108&lt;=$D$80,1,0)</f>
        <v/>
      </c>
      <c r="AA108" s="18">
        <f>IF(Q108&lt;=$D$80,1,0)</f>
        <v/>
      </c>
      <c r="AB108" s="18">
        <f>IF(R108&lt;=$D$80,1,0)</f>
        <v/>
      </c>
      <c r="AC108" s="18">
        <f>IF(S108&lt;=$D$80,1,0)</f>
        <v/>
      </c>
      <c r="AD108" s="18">
        <f>IF(T108&lt;=$D$80,1,0)</f>
        <v/>
      </c>
    </row>
    <row r="109" ht="24" customHeight="1">
      <c r="B109" s="33" t="inlineStr">
        <is>
          <t>Tierra de cultivo + 3 dosis de gel químico por m³</t>
        </is>
      </c>
      <c r="C109" s="47">
        <f>INDEX(TRAT_RHO,5)</f>
        <v/>
      </c>
      <c r="D109" s="47">
        <f>K109</f>
        <v/>
      </c>
      <c r="E109" s="47">
        <f>L109</f>
        <v/>
      </c>
      <c r="F109" s="47">
        <f>M109</f>
        <v/>
      </c>
      <c r="G109" s="36">
        <f>IFERROR(MATCH(1,U109:AD109,0),"&gt; 10")</f>
        <v/>
      </c>
      <c r="H109" s="43">
        <f>IF(ISNUMBER(G109),INDEX(K109:T109,G109),"—")</f>
        <v/>
      </c>
      <c r="J109" s="18" t="n"/>
      <c r="K109" s="51">
        <f>((C109*LN($D$63/$D$51)+$D$47*(LN(8*$D$53/$D$63)-1))/(2*PI()*$D$53))/1+0.0*$D$47/(2*PI()*$D$82*1)</f>
        <v/>
      </c>
      <c r="L109" s="51">
        <f>((C109*LN($D$63/$D$51)+$D$47*(LN(8*$D$53/$D$63)-1))/(2*PI()*$D$53))/2+1.0*$D$47/(2*PI()*$D$82*2)</f>
        <v/>
      </c>
      <c r="M109" s="51">
        <f>((C109*LN($D$63/$D$51)+$D$47*(LN(8*$D$53/$D$63)-1))/(2*PI()*$D$53))/3+1.66*$D$47/(2*PI()*$D$82*3)</f>
        <v/>
      </c>
      <c r="N109" s="51">
        <f>((C109*LN($D$63/$D$51)+$D$47*(LN(8*$D$53/$D$63)-1))/(2*PI()*$D$53))/4+2.15*$D$47/(2*PI()*$D$82*4)</f>
        <v/>
      </c>
      <c r="O109" s="51">
        <f>((C109*LN($D$63/$D$51)+$D$47*(LN(8*$D$53/$D$63)-1))/(2*PI()*$D$53))/5+2.54*$D$47/(2*PI()*$D$82*5)</f>
        <v/>
      </c>
      <c r="P109" s="51">
        <f>((C109*LN($D$63/$D$51)+$D$47*(LN(8*$D$53/$D$63)-1))/(2*PI()*$D$53))/6+2.87*$D$47/(2*PI()*$D$82*6)</f>
        <v/>
      </c>
      <c r="Q109" s="51">
        <f>((C109*LN($D$63/$D$51)+$D$47*(LN(8*$D$53/$D$63)-1))/(2*PI()*$D$53))/7+3.15*$D$47/(2*PI()*$D$82*7)</f>
        <v/>
      </c>
      <c r="R109" s="51">
        <f>((C109*LN($D$63/$D$51)+$D$47*(LN(8*$D$53/$D$63)-1))/(2*PI()*$D$53))/8+3.39*$D$47/(2*PI()*$D$82*8)</f>
        <v/>
      </c>
      <c r="S109" s="51">
        <f>((C109*LN($D$63/$D$51)+$D$47*(LN(8*$D$53/$D$63)-1))/(2*PI()*$D$53))/9+3.61*$D$47/(2*PI()*$D$82*9)</f>
        <v/>
      </c>
      <c r="T109" s="51">
        <f>((C109*LN($D$63/$D$51)+$D$47*(LN(8*$D$53/$D$63)-1))/(2*PI()*$D$53))/10+3.81*$D$47/(2*PI()*$D$82*10)</f>
        <v/>
      </c>
      <c r="U109" s="18">
        <f>IF(K109&lt;=$D$80,1,0)</f>
        <v/>
      </c>
      <c r="V109" s="18">
        <f>IF(L109&lt;=$D$80,1,0)</f>
        <v/>
      </c>
      <c r="W109" s="18">
        <f>IF(M109&lt;=$D$80,1,0)</f>
        <v/>
      </c>
      <c r="X109" s="18">
        <f>IF(N109&lt;=$D$80,1,0)</f>
        <v/>
      </c>
      <c r="Y109" s="18">
        <f>IF(O109&lt;=$D$80,1,0)</f>
        <v/>
      </c>
      <c r="Z109" s="18">
        <f>IF(P109&lt;=$D$80,1,0)</f>
        <v/>
      </c>
      <c r="AA109" s="18">
        <f>IF(Q109&lt;=$D$80,1,0)</f>
        <v/>
      </c>
      <c r="AB109" s="18">
        <f>IF(R109&lt;=$D$80,1,0)</f>
        <v/>
      </c>
      <c r="AC109" s="18">
        <f>IF(S109&lt;=$D$80,1,0)</f>
        <v/>
      </c>
      <c r="AD109" s="18">
        <f>IF(T109&lt;=$D$80,1,0)</f>
        <v/>
      </c>
    </row>
    <row r="110" ht="13.5" customHeight="1">
      <c r="B110" s="33" t="inlineStr">
        <is>
          <t>Tierra de cultivo + bentonita sódica</t>
        </is>
      </c>
      <c r="C110" s="47">
        <f>INDEX(TRAT_RHO,6)</f>
        <v/>
      </c>
      <c r="D110" s="47">
        <f>K110</f>
        <v/>
      </c>
      <c r="E110" s="47">
        <f>L110</f>
        <v/>
      </c>
      <c r="F110" s="47">
        <f>M110</f>
        <v/>
      </c>
      <c r="G110" s="36">
        <f>IFERROR(MATCH(1,U110:AD110,0),"&gt; 10")</f>
        <v/>
      </c>
      <c r="H110" s="43">
        <f>IF(ISNUMBER(G110),INDEX(K110:T110,G110),"—")</f>
        <v/>
      </c>
      <c r="J110" s="18" t="n"/>
      <c r="K110" s="51">
        <f>((C110*LN($D$63/$D$51)+$D$47*(LN(8*$D$53/$D$63)-1))/(2*PI()*$D$53))/1+0.0*$D$47/(2*PI()*$D$82*1)</f>
        <v/>
      </c>
      <c r="L110" s="51">
        <f>((C110*LN($D$63/$D$51)+$D$47*(LN(8*$D$53/$D$63)-1))/(2*PI()*$D$53))/2+1.0*$D$47/(2*PI()*$D$82*2)</f>
        <v/>
      </c>
      <c r="M110" s="51">
        <f>((C110*LN($D$63/$D$51)+$D$47*(LN(8*$D$53/$D$63)-1))/(2*PI()*$D$53))/3+1.66*$D$47/(2*PI()*$D$82*3)</f>
        <v/>
      </c>
      <c r="N110" s="51">
        <f>((C110*LN($D$63/$D$51)+$D$47*(LN(8*$D$53/$D$63)-1))/(2*PI()*$D$53))/4+2.15*$D$47/(2*PI()*$D$82*4)</f>
        <v/>
      </c>
      <c r="O110" s="51">
        <f>((C110*LN($D$63/$D$51)+$D$47*(LN(8*$D$53/$D$63)-1))/(2*PI()*$D$53))/5+2.54*$D$47/(2*PI()*$D$82*5)</f>
        <v/>
      </c>
      <c r="P110" s="51">
        <f>((C110*LN($D$63/$D$51)+$D$47*(LN(8*$D$53/$D$63)-1))/(2*PI()*$D$53))/6+2.87*$D$47/(2*PI()*$D$82*6)</f>
        <v/>
      </c>
      <c r="Q110" s="51">
        <f>((C110*LN($D$63/$D$51)+$D$47*(LN(8*$D$53/$D$63)-1))/(2*PI()*$D$53))/7+3.15*$D$47/(2*PI()*$D$82*7)</f>
        <v/>
      </c>
      <c r="R110" s="51">
        <f>((C110*LN($D$63/$D$51)+$D$47*(LN(8*$D$53/$D$63)-1))/(2*PI()*$D$53))/8+3.39*$D$47/(2*PI()*$D$82*8)</f>
        <v/>
      </c>
      <c r="S110" s="51">
        <f>((C110*LN($D$63/$D$51)+$D$47*(LN(8*$D$53/$D$63)-1))/(2*PI()*$D$53))/9+3.61*$D$47/(2*PI()*$D$82*9)</f>
        <v/>
      </c>
      <c r="T110" s="51">
        <f>((C110*LN($D$63/$D$51)+$D$47*(LN(8*$D$53/$D$63)-1))/(2*PI()*$D$53))/10+3.81*$D$47/(2*PI()*$D$82*10)</f>
        <v/>
      </c>
      <c r="U110" s="18">
        <f>IF(K110&lt;=$D$80,1,0)</f>
        <v/>
      </c>
      <c r="V110" s="18">
        <f>IF(L110&lt;=$D$80,1,0)</f>
        <v/>
      </c>
      <c r="W110" s="18">
        <f>IF(M110&lt;=$D$80,1,0)</f>
        <v/>
      </c>
      <c r="X110" s="18">
        <f>IF(N110&lt;=$D$80,1,0)</f>
        <v/>
      </c>
      <c r="Y110" s="18">
        <f>IF(O110&lt;=$D$80,1,0)</f>
        <v/>
      </c>
      <c r="Z110" s="18">
        <f>IF(P110&lt;=$D$80,1,0)</f>
        <v/>
      </c>
      <c r="AA110" s="18">
        <f>IF(Q110&lt;=$D$80,1,0)</f>
        <v/>
      </c>
      <c r="AB110" s="18">
        <f>IF(R110&lt;=$D$80,1,0)</f>
        <v/>
      </c>
      <c r="AC110" s="18">
        <f>IF(S110&lt;=$D$80,1,0)</f>
        <v/>
      </c>
      <c r="AD110" s="18">
        <f>IF(T110&lt;=$D$80,1,0)</f>
        <v/>
      </c>
    </row>
    <row r="111" ht="24" customHeight="1">
      <c r="B111" s="33" t="inlineStr">
        <is>
          <t>Cemento conductivo / relleno a base de carbono</t>
        </is>
      </c>
      <c r="C111" s="47">
        <f>INDEX(TRAT_RHO,7)</f>
        <v/>
      </c>
      <c r="D111" s="47">
        <f>K111</f>
        <v/>
      </c>
      <c r="E111" s="47">
        <f>L111</f>
        <v/>
      </c>
      <c r="F111" s="47">
        <f>M111</f>
        <v/>
      </c>
      <c r="G111" s="36">
        <f>IFERROR(MATCH(1,U111:AD111,0),"&gt; 10")</f>
        <v/>
      </c>
      <c r="H111" s="43">
        <f>IF(ISNUMBER(G111),INDEX(K111:T111,G111),"—")</f>
        <v/>
      </c>
      <c r="J111" s="18" t="n"/>
      <c r="K111" s="51">
        <f>((C111*LN($D$63/$D$51)+$D$47*(LN(8*$D$53/$D$63)-1))/(2*PI()*$D$53))/1+0.0*$D$47/(2*PI()*$D$82*1)</f>
        <v/>
      </c>
      <c r="L111" s="51">
        <f>((C111*LN($D$63/$D$51)+$D$47*(LN(8*$D$53/$D$63)-1))/(2*PI()*$D$53))/2+1.0*$D$47/(2*PI()*$D$82*2)</f>
        <v/>
      </c>
      <c r="M111" s="51">
        <f>((C111*LN($D$63/$D$51)+$D$47*(LN(8*$D$53/$D$63)-1))/(2*PI()*$D$53))/3+1.66*$D$47/(2*PI()*$D$82*3)</f>
        <v/>
      </c>
      <c r="N111" s="51">
        <f>((C111*LN($D$63/$D$51)+$D$47*(LN(8*$D$53/$D$63)-1))/(2*PI()*$D$53))/4+2.15*$D$47/(2*PI()*$D$82*4)</f>
        <v/>
      </c>
      <c r="O111" s="51">
        <f>((C111*LN($D$63/$D$51)+$D$47*(LN(8*$D$53/$D$63)-1))/(2*PI()*$D$53))/5+2.54*$D$47/(2*PI()*$D$82*5)</f>
        <v/>
      </c>
      <c r="P111" s="51">
        <f>((C111*LN($D$63/$D$51)+$D$47*(LN(8*$D$53/$D$63)-1))/(2*PI()*$D$53))/6+2.87*$D$47/(2*PI()*$D$82*6)</f>
        <v/>
      </c>
      <c r="Q111" s="51">
        <f>((C111*LN($D$63/$D$51)+$D$47*(LN(8*$D$53/$D$63)-1))/(2*PI()*$D$53))/7+3.15*$D$47/(2*PI()*$D$82*7)</f>
        <v/>
      </c>
      <c r="R111" s="51">
        <f>((C111*LN($D$63/$D$51)+$D$47*(LN(8*$D$53/$D$63)-1))/(2*PI()*$D$53))/8+3.39*$D$47/(2*PI()*$D$82*8)</f>
        <v/>
      </c>
      <c r="S111" s="51">
        <f>((C111*LN($D$63/$D$51)+$D$47*(LN(8*$D$53/$D$63)-1))/(2*PI()*$D$53))/9+3.61*$D$47/(2*PI()*$D$82*9)</f>
        <v/>
      </c>
      <c r="T111" s="51">
        <f>((C111*LN($D$63/$D$51)+$D$47*(LN(8*$D$53/$D$63)-1))/(2*PI()*$D$53))/10+3.81*$D$47/(2*PI()*$D$82*10)</f>
        <v/>
      </c>
      <c r="U111" s="18">
        <f>IF(K111&lt;=$D$80,1,0)</f>
        <v/>
      </c>
      <c r="V111" s="18">
        <f>IF(L111&lt;=$D$80,1,0)</f>
        <v/>
      </c>
      <c r="W111" s="18">
        <f>IF(M111&lt;=$D$80,1,0)</f>
        <v/>
      </c>
      <c r="X111" s="18">
        <f>IF(N111&lt;=$D$80,1,0)</f>
        <v/>
      </c>
      <c r="Y111" s="18">
        <f>IF(O111&lt;=$D$80,1,0)</f>
        <v/>
      </c>
      <c r="Z111" s="18">
        <f>IF(P111&lt;=$D$80,1,0)</f>
        <v/>
      </c>
      <c r="AA111" s="18">
        <f>IF(Q111&lt;=$D$80,1,0)</f>
        <v/>
      </c>
      <c r="AB111" s="18">
        <f>IF(R111&lt;=$D$80,1,0)</f>
        <v/>
      </c>
      <c r="AC111" s="18">
        <f>IF(S111&lt;=$D$80,1,0)</f>
        <v/>
      </c>
      <c r="AD111" s="18">
        <f>IF(T111&lt;=$D$80,1,0)</f>
        <v/>
      </c>
    </row>
    <row r="112" ht="24" customHeight="1">
      <c r="B112" s="31" t="inlineStr">
        <is>
          <t>Valores de ρc referenciales (ver TABLAS). Para el expediente, use la resistividad que garantice el fabricante del producto especificado.</t>
        </is>
      </c>
      <c r="J112" s="18" t="n"/>
      <c r="K112" s="18" t="n"/>
      <c r="L112" s="18" t="n"/>
      <c r="M112" s="18" t="n"/>
      <c r="N112" s="18" t="n"/>
      <c r="O112" s="18" t="n"/>
      <c r="P112" s="18" t="n"/>
      <c r="Q112" s="18" t="n"/>
      <c r="R112" s="18" t="n"/>
      <c r="S112" s="18" t="n"/>
      <c r="T112" s="18" t="n"/>
      <c r="U112" s="18" t="n"/>
      <c r="V112" s="18" t="n"/>
      <c r="W112" s="18" t="n"/>
      <c r="X112" s="18" t="n"/>
      <c r="Y112" s="18" t="n"/>
      <c r="Z112" s="18" t="n"/>
      <c r="AA112" s="18" t="n"/>
      <c r="AB112" s="18" t="n"/>
      <c r="AC112" s="18" t="n"/>
      <c r="AD112" s="18" t="n"/>
    </row>
    <row r="113">
      <c r="J113" s="18" t="n"/>
      <c r="K113" s="18" t="n"/>
      <c r="L113" s="18" t="n"/>
      <c r="M113" s="18" t="n"/>
      <c r="N113" s="18" t="n"/>
      <c r="O113" s="18" t="n"/>
      <c r="P113" s="18" t="n"/>
      <c r="Q113" s="18" t="n"/>
      <c r="R113" s="18" t="n"/>
      <c r="S113" s="18" t="n"/>
      <c r="T113" s="18" t="n"/>
      <c r="U113" s="18" t="n"/>
      <c r="V113" s="18" t="n"/>
      <c r="W113" s="18" t="n"/>
      <c r="X113" s="18" t="n"/>
      <c r="Y113" s="18" t="n"/>
      <c r="Z113" s="18" t="n"/>
      <c r="AA113" s="18" t="n"/>
      <c r="AB113" s="18" t="n"/>
      <c r="AC113" s="18" t="n"/>
      <c r="AD113" s="18" t="n"/>
    </row>
    <row r="114" ht="17" customHeight="1">
      <c r="B114" s="25" t="inlineStr">
        <is>
          <t>7. CONDUCTOR DE PUESTA A TIERRA Y RECOMENDACIONES</t>
        </is>
      </c>
      <c r="J114" s="18" t="n"/>
      <c r="K114" s="18" t="n"/>
      <c r="L114" s="18" t="n"/>
      <c r="M114" s="18" t="n"/>
      <c r="N114" s="18" t="n"/>
      <c r="O114" s="18" t="n"/>
      <c r="P114" s="18" t="n"/>
      <c r="Q114" s="18" t="n"/>
      <c r="R114" s="18" t="n"/>
      <c r="S114" s="18" t="n"/>
      <c r="T114" s="18" t="n"/>
      <c r="U114" s="18" t="n"/>
      <c r="V114" s="18" t="n"/>
      <c r="W114" s="18" t="n"/>
      <c r="X114" s="18" t="n"/>
      <c r="Y114" s="18" t="n"/>
      <c r="Z114" s="18" t="n"/>
      <c r="AA114" s="18" t="n"/>
      <c r="AB114" s="18" t="n"/>
      <c r="AC114" s="18" t="n"/>
      <c r="AD114" s="18" t="n"/>
    </row>
    <row r="115" ht="24" customHeight="1">
      <c r="B115" s="9" t="inlineStr">
        <is>
          <t>Capacidad de conducción del conductor de acometida de mayor sección</t>
        </is>
      </c>
      <c r="C115" s="26" t="inlineStr">
        <is>
          <t>Iz</t>
        </is>
      </c>
      <c r="D115" s="52" t="n">
        <v>76</v>
      </c>
      <c r="E115" s="30" t="inlineStr">
        <is>
          <t>A</t>
        </is>
      </c>
      <c r="F115" s="31" t="inlineStr">
        <is>
          <t>Iz·F del conductor (ver hoja CAIDA_TENSION); Nota de la Tabla 17</t>
        </is>
      </c>
      <c r="J115" s="18" t="n"/>
      <c r="K115" s="18" t="n"/>
      <c r="L115" s="18" t="n"/>
      <c r="M115" s="18" t="n"/>
      <c r="N115" s="18" t="n"/>
      <c r="O115" s="18" t="n"/>
      <c r="P115" s="18" t="n"/>
      <c r="Q115" s="18" t="n"/>
      <c r="R115" s="18" t="n"/>
      <c r="S115" s="18" t="n"/>
      <c r="T115" s="18" t="n"/>
      <c r="U115" s="18" t="n"/>
      <c r="V115" s="18" t="n"/>
      <c r="W115" s="18" t="n"/>
      <c r="X115" s="18" t="n"/>
      <c r="Y115" s="18" t="n"/>
      <c r="Z115" s="18" t="n"/>
      <c r="AA115" s="18" t="n"/>
      <c r="AB115" s="18" t="n"/>
      <c r="AC115" s="18" t="n"/>
      <c r="AD115" s="18" t="n"/>
    </row>
    <row r="116" ht="24" customHeight="1">
      <c r="B116" s="39" t="inlineStr">
        <is>
          <t>SECCIÓN MÍNIMA DEL CONDUCTOR DE PUESTA A TIERRA · CNE-U Tabla 17</t>
        </is>
      </c>
      <c r="C116" s="26" t="inlineStr">
        <is>
          <t>Spat</t>
        </is>
      </c>
      <c r="D116" s="49">
        <f>INDEX(T17_SEC,COUNTIF(T17_HASTA,"&lt;"&amp;$D$115)+1)</f>
        <v/>
      </c>
      <c r="E116" s="30" t="inlineStr">
        <is>
          <t>mm²</t>
        </is>
      </c>
      <c r="F116" s="31" t="inlineStr">
        <is>
          <t>Cobre; Reglas 060-204, 060-206 y 060-812</t>
        </is>
      </c>
      <c r="J116" s="18" t="n"/>
      <c r="K116" s="18" t="n"/>
      <c r="L116" s="18" t="n"/>
      <c r="M116" s="18" t="n"/>
      <c r="N116" s="18" t="n"/>
      <c r="O116" s="18" t="n"/>
      <c r="P116" s="18" t="n"/>
      <c r="Q116" s="18" t="n"/>
      <c r="R116" s="18" t="n"/>
      <c r="S116" s="18" t="n"/>
      <c r="T116" s="18" t="n"/>
      <c r="U116" s="18" t="n"/>
      <c r="V116" s="18" t="n"/>
      <c r="W116" s="18" t="n"/>
      <c r="X116" s="18" t="n"/>
      <c r="Y116" s="18" t="n"/>
      <c r="Z116" s="18" t="n"/>
      <c r="AA116" s="18" t="n"/>
      <c r="AB116" s="18" t="n"/>
      <c r="AC116" s="18" t="n"/>
      <c r="AD116" s="18" t="n"/>
    </row>
    <row r="117" ht="24" customHeight="1">
      <c r="B117" s="9" t="inlineStr">
        <is>
          <t>• 060-712: si un electrodo simple supera 25 Ω, se instala un electrodo adicional a no menos de 2 m (o a la longitud del electrodo) o se emplea otro método. 060-806: el conductor de puesta a tierra no lleva uniones ni empalmes.</t>
        </is>
      </c>
      <c r="J117" s="18" t="n"/>
      <c r="K117" s="18" t="n"/>
      <c r="L117" s="18" t="n"/>
      <c r="M117" s="18" t="n"/>
      <c r="N117" s="18" t="n"/>
      <c r="O117" s="18" t="n"/>
      <c r="P117" s="18" t="n"/>
      <c r="Q117" s="18" t="n"/>
      <c r="R117" s="18" t="n"/>
      <c r="S117" s="18" t="n"/>
      <c r="T117" s="18" t="n"/>
      <c r="U117" s="18" t="n"/>
      <c r="V117" s="18" t="n"/>
      <c r="W117" s="18" t="n"/>
      <c r="X117" s="18" t="n"/>
      <c r="Y117" s="18" t="n"/>
      <c r="Z117" s="18" t="n"/>
      <c r="AA117" s="18" t="n"/>
      <c r="AB117" s="18" t="n"/>
      <c r="AC117" s="18" t="n"/>
      <c r="AD117" s="18" t="n"/>
    </row>
    <row r="118" ht="24" customHeight="1">
      <c r="B118" s="9" t="inlineStr">
        <is>
          <t>• Construido el sistema, mida la resistencia con telurómetro (método de caída de potencial, electrodo de potencial al 62 % de la distancia al electrodo de corriente) y anote el valor en el protocolo de pruebas.</t>
        </is>
      </c>
      <c r="J118" s="18" t="n"/>
      <c r="K118" s="18" t="n"/>
      <c r="L118" s="18" t="n"/>
      <c r="M118" s="18" t="n"/>
      <c r="N118" s="18" t="n"/>
      <c r="O118" s="18" t="n"/>
      <c r="P118" s="18" t="n"/>
      <c r="Q118" s="18" t="n"/>
      <c r="R118" s="18" t="n"/>
      <c r="S118" s="18" t="n"/>
      <c r="T118" s="18" t="n"/>
      <c r="U118" s="18" t="n"/>
      <c r="V118" s="18" t="n"/>
      <c r="W118" s="18" t="n"/>
      <c r="X118" s="18" t="n"/>
      <c r="Y118" s="18" t="n"/>
      <c r="Z118" s="18" t="n"/>
      <c r="AA118" s="18" t="n"/>
      <c r="AB118" s="18" t="n"/>
      <c r="AC118" s="18" t="n"/>
      <c r="AD118" s="18" t="n"/>
    </row>
    <row r="119" ht="24" customHeight="1">
      <c r="B119" s="9" t="inlineStr">
        <is>
          <t>• Relleno: tierra de cultivo cernida (malla de 1/2"), sin piedras, compactada en capas de 0.20 a 0.30 m, aplicando el tratamiento según el fabricante. Caja de registro con tapa para la inspección y el mantenimiento (anual sugerido).</t>
        </is>
      </c>
      <c r="J119" s="18" t="n"/>
      <c r="K119" s="18" t="n"/>
      <c r="L119" s="18" t="n"/>
      <c r="M119" s="18" t="n"/>
      <c r="N119" s="18" t="n"/>
      <c r="O119" s="18" t="n"/>
      <c r="P119" s="18" t="n"/>
      <c r="Q119" s="18" t="n"/>
      <c r="R119" s="18" t="n"/>
      <c r="S119" s="18" t="n"/>
      <c r="T119" s="18" t="n"/>
      <c r="U119" s="18" t="n"/>
      <c r="V119" s="18" t="n"/>
      <c r="W119" s="18" t="n"/>
      <c r="X119" s="18" t="n"/>
      <c r="Y119" s="18" t="n"/>
      <c r="Z119" s="18" t="n"/>
      <c r="AA119" s="18" t="n"/>
      <c r="AB119" s="18" t="n"/>
      <c r="AC119" s="18" t="n"/>
      <c r="AD119" s="18" t="n"/>
    </row>
    <row r="120" ht="24" customHeight="1">
      <c r="B120" s="9" t="inlineStr">
        <is>
          <t>• El cálculo supone terreno homogéneo de resistividad ρ. En terrenos estratificados o con roca, use un estudio de resistividad de dos capas o un programa especializado.</t>
        </is>
      </c>
      <c r="J120" s="18" t="n"/>
      <c r="K120" s="18" t="n"/>
      <c r="L120" s="18" t="n"/>
      <c r="M120" s="18" t="n"/>
      <c r="N120" s="18" t="n"/>
      <c r="O120" s="18" t="n"/>
      <c r="P120" s="18" t="n"/>
      <c r="Q120" s="18" t="n"/>
      <c r="R120" s="18" t="n"/>
      <c r="S120" s="18" t="n"/>
      <c r="T120" s="18" t="n"/>
      <c r="U120" s="18" t="n"/>
      <c r="V120" s="18" t="n"/>
      <c r="W120" s="18" t="n"/>
      <c r="X120" s="18" t="n"/>
      <c r="Y120" s="18" t="n"/>
      <c r="Z120" s="18" t="n"/>
      <c r="AA120" s="18" t="n"/>
      <c r="AB120" s="18" t="n"/>
      <c r="AC120" s="18" t="n"/>
      <c r="AD120" s="18" t="n"/>
    </row>
    <row r="121">
      <c r="J121" s="18" t="n"/>
      <c r="K121" s="18" t="n"/>
      <c r="L121" s="18" t="n"/>
      <c r="M121" s="18" t="n"/>
      <c r="N121" s="18" t="n"/>
      <c r="O121" s="18" t="n"/>
      <c r="P121" s="18" t="n"/>
      <c r="Q121" s="18" t="n"/>
      <c r="R121" s="18" t="n"/>
      <c r="S121" s="18" t="n"/>
      <c r="T121" s="18" t="n"/>
      <c r="U121" s="18" t="n"/>
      <c r="V121" s="18" t="n"/>
      <c r="W121" s="18" t="n"/>
      <c r="X121" s="18" t="n"/>
      <c r="Y121" s="18" t="n"/>
      <c r="Z121" s="18" t="n"/>
      <c r="AA121" s="18" t="n"/>
      <c r="AB121" s="18" t="n"/>
      <c r="AC121" s="18" t="n"/>
      <c r="AD121" s="18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52">
    <mergeCell ref="D60:H60"/>
    <mergeCell ref="B84:H84"/>
    <mergeCell ref="B118:H118"/>
    <mergeCell ref="C55:E55"/>
    <mergeCell ref="B49:H49"/>
    <mergeCell ref="D81:H81"/>
    <mergeCell ref="C56:E56"/>
    <mergeCell ref="D40:H40"/>
    <mergeCell ref="B114:H114"/>
    <mergeCell ref="D52:H52"/>
    <mergeCell ref="F46:H46"/>
    <mergeCell ref="F115:H115"/>
    <mergeCell ref="D11:H11"/>
    <mergeCell ref="B112:H112"/>
    <mergeCell ref="B120:H120"/>
    <mergeCell ref="B72:H72"/>
    <mergeCell ref="F61:H61"/>
    <mergeCell ref="C67:E67"/>
    <mergeCell ref="C7:H7"/>
    <mergeCell ref="C66:E66"/>
    <mergeCell ref="F82:H82"/>
    <mergeCell ref="C57:E57"/>
    <mergeCell ref="D43:H43"/>
    <mergeCell ref="B71:H71"/>
    <mergeCell ref="D78:H78"/>
    <mergeCell ref="B77:H77"/>
    <mergeCell ref="B2:H2"/>
    <mergeCell ref="B117:H117"/>
    <mergeCell ref="F64:H64"/>
    <mergeCell ref="B42:H42"/>
    <mergeCell ref="F44:H44"/>
    <mergeCell ref="C3:H3"/>
    <mergeCell ref="F53:H53"/>
    <mergeCell ref="D58:H58"/>
    <mergeCell ref="F69:H69"/>
    <mergeCell ref="C83:E83"/>
    <mergeCell ref="F116:H116"/>
    <mergeCell ref="C62:E62"/>
    <mergeCell ref="F63:H63"/>
    <mergeCell ref="B101:H101"/>
    <mergeCell ref="C6:H6"/>
    <mergeCell ref="C98:E98"/>
    <mergeCell ref="B119:H119"/>
    <mergeCell ref="B1:H1"/>
    <mergeCell ref="B13:H13"/>
    <mergeCell ref="C5:H5"/>
    <mergeCell ref="C4:H4"/>
    <mergeCell ref="B10:H10"/>
    <mergeCell ref="F12:H12"/>
    <mergeCell ref="B103:H103"/>
    <mergeCell ref="D50:H50"/>
    <mergeCell ref="C65:E65"/>
  </mergeCells>
  <conditionalFormatting sqref="B1:H121">
    <cfRule type="expression" priority="1" dxfId="0" stopIfTrue="1">
      <formula>ISNUMBER(SEARCH("NO CUMPLE",B1))</formula>
    </cfRule>
    <cfRule type="expression" priority="2" dxfId="1" stopIfTrue="1">
      <formula>OR(LEFT(B1,7)="REVISAR",LEFT(B1,6)="AVISO:",LEFT(B1,7)="Elija e",LEFT(B1,9)="Insuficie")</formula>
    </cfRule>
    <cfRule type="expression" priority="3" dxfId="2">
      <formula>B1="CUMPLE"</formula>
    </cfRule>
  </conditionalFormatting>
  <dataValidations count="12">
    <dataValidation sqref="D12" showDropDown="0" showInputMessage="0" showErrorMessage="0" allowBlank="1" errorTitle="Valor fuera de rango" error="Ingrese un valor entre 0 y 2" type="decimal" operator="between">
      <formula1>0</formula1>
      <formula2>2</formula2>
    </dataValidation>
    <dataValidation sqref="D43" showDropDown="0" showInputMessage="0" showErrorMessage="0" allowBlank="1" errorTitle="Valor no válido" error="Elija un valor de la lista" type="list">
      <formula1>"Promedio de las lecturas,Máximo de las lecturas (conservador),Valor manual"</formula1>
    </dataValidation>
    <dataValidation sqref="D46" showDropDown="0" showInputMessage="0" showErrorMessage="0" allowBlank="1" errorTitle="Valor fuera de rango" error="Ingrese un valor entre 1 y 5" type="decimal" operator="between">
      <formula1>1</formula1>
      <formula2>5</formula2>
    </dataValidation>
    <dataValidation sqref="D50" showDropDown="0" showInputMessage="0" showErrorMessage="0" allowBlank="1" errorTitle="Valor no válido" error="Elija un valor de la lista" type="list">
      <formula1>=VAR_NOM</formula1>
    </dataValidation>
    <dataValidation sqref="D53" showDropDown="0" showInputMessage="0" showErrorMessage="0" allowBlank="1" errorTitle="Valor fuera de rango" error="Ingrese un valor entre 0.5 y 12" type="decimal" operator="between">
      <formula1>0.5</formula1>
      <formula2>12</formula2>
    </dataValidation>
    <dataValidation sqref="D54" showDropDown="0" showInputMessage="0" showErrorMessage="0" allowBlank="1" errorTitle="Valor fuera de rango" error="Ingrese un valor entre 0 y 3" type="decimal" operator="between">
      <formula1>0</formula1>
      <formula2>3</formula2>
    </dataValidation>
    <dataValidation sqref="D58" showDropDown="0" showInputMessage="0" showErrorMessage="0" allowBlank="1" errorTitle="Valor no válido" error="Elija un valor de la lista" type="list">
      <formula1>=TRAT_NOM</formula1>
    </dataValidation>
    <dataValidation sqref="D63" showDropDown="0" showInputMessage="0" showErrorMessage="0" allowBlank="1" errorTitle="Valor fuera de rango" error="Ingrese un valor entre 0.1 y 3" type="decimal" operator="between">
      <formula1>0.1</formula1>
      <formula2>3</formula2>
    </dataValidation>
    <dataValidation sqref="D64" showDropDown="0" showInputMessage="0" showErrorMessage="0" allowBlank="1" errorTitle="Valor fuera de rango" error="Ingrese un valor entre 0.3 y 15" type="decimal" operator="between">
      <formula1>0.3</formula1>
      <formula2>15</formula2>
    </dataValidation>
    <dataValidation sqref="D78" showDropDown="0" showInputMessage="0" showErrorMessage="0" allowBlank="1" errorTitle="Valor no válido" error="Elija un valor de la lista" type="list">
      <formula1>=OBJ_NOM</formula1>
    </dataValidation>
    <dataValidation sqref="D82" showDropDown="0" showInputMessage="0" showErrorMessage="0" allowBlank="1" errorTitle="Valor fuera de rango" error="Ingrese un valor entre 0.5 y 50" type="decimal" operator="between">
      <formula1>0.5</formula1>
      <formula2>50</formula2>
    </dataValidation>
    <dataValidation sqref="D115" showDropDown="0" showInputMessage="0" showErrorMessage="0" allowBlank="1" errorTitle="Valor fuera de rango" error="Ingrese un valor entre 1 y 10000" type="decimal" operator="between">
      <formula1>1</formula1>
      <formula2>10000</formula2>
    </dataValidation>
  </dataValidations>
  <printOptions horizontalCentered="1"/>
  <pageMargins left="0.5" right="0.5" top="0.6" bottom="0.6" header="0.3" footer="0.3"/>
  <pageSetup orientation="portrait" paperSize="9" fitToHeight="0" fitToWidth="1"/>
  <headerFooter>
    <oddHeader>&amp;L&amp;"Times New Roman,Regular"&amp;7 ALF_BIM · Calculadoras IIEE ALF · Pozo a tierra&amp;R&amp;"Times New Roman,Regular"&amp;7 Página &amp;P de &amp;N</oddHeader>
    <oddFooter>&amp;L&amp;"Times New Roman,Regular"&amp;7 www.alfbim.com · Herramienta gratuita de apoyo. Los resultados deben ser revisados por un ingeniero electricista o mecánico electricista colegiado.&amp;R&amp;"Times New Roman,Regular"&amp;7 &amp;A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F5B400"/>
    <outlinePr summaryBelow="1" summaryRight="1"/>
    <pageSetUpPr fitToPage="1"/>
  </sheetPr>
  <dimension ref="B1:P352"/>
  <sheetViews>
    <sheetView showGridLines="0" tabSelected="0" zoomScale="110" workbookViewId="0">
      <selection activeCell="A1" sqref="A1"/>
    </sheetView>
  </sheetViews>
  <sheetFormatPr baseColWidth="8" defaultRowHeight="15"/>
  <cols>
    <col width="1.5" customWidth="1" min="1" max="1"/>
    <col width="40" customWidth="1" min="2" max="2"/>
    <col width="8" customWidth="1" min="3" max="3"/>
    <col width="12" customWidth="1" min="4" max="4"/>
    <col width="8" customWidth="1" min="5" max="5"/>
    <col width="11" customWidth="1" min="6" max="6"/>
    <col width="11" customWidth="1" min="7" max="7"/>
    <col width="20" customWidth="1" min="8" max="8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</cols>
  <sheetData>
    <row r="1" ht="24" customHeight="1">
      <c r="B1" s="17" t="inlineStr">
        <is>
          <t>ILUMINACIÓN DE INTERIORES · MÉTODO DE LOS LÚMENES</t>
        </is>
      </c>
    </row>
    <row r="2" ht="15" customHeight="1">
      <c r="B2" s="19" t="inlineStr">
        <is>
          <t>ALF_BIM · Calculadoras IIEE ALF · NTE EM.010-2019 (R.M. 083-2019-VIVIENDA) · v1.0.0</t>
        </is>
      </c>
    </row>
    <row r="3">
      <c r="B3" s="20" t="inlineStr">
        <is>
          <t>Proyecto</t>
        </is>
      </c>
      <c r="C3" s="21">
        <f>INICIO!$D$7</f>
        <v/>
      </c>
      <c r="D3" s="22" t="n"/>
      <c r="E3" s="22" t="n"/>
      <c r="F3" s="22" t="n"/>
      <c r="G3" s="22" t="n"/>
      <c r="H3" s="22" t="n"/>
    </row>
    <row r="4">
      <c r="B4" s="20" t="inlineStr">
        <is>
          <t>Ubicación</t>
        </is>
      </c>
      <c r="C4" s="21">
        <f>INICIO!$D$9</f>
        <v/>
      </c>
      <c r="D4" s="22" t="n"/>
      <c r="E4" s="22" t="n"/>
      <c r="F4" s="22" t="n"/>
      <c r="G4" s="22" t="n"/>
      <c r="H4" s="22" t="n"/>
    </row>
    <row r="5">
      <c r="B5" s="20" t="inlineStr">
        <is>
          <t>Ambiente</t>
        </is>
      </c>
      <c r="C5" s="23" t="inlineStr">
        <is>
          <t>OFICINA ADMINISTRATIVA · 1.er PISO (EJEMPLO)</t>
        </is>
      </c>
      <c r="D5" s="22" t="n"/>
      <c r="E5" s="22" t="n"/>
      <c r="F5" s="22" t="n"/>
      <c r="G5" s="22" t="n"/>
      <c r="H5" s="22" t="n"/>
    </row>
    <row r="6">
      <c r="B6" s="20" t="inlineStr">
        <is>
          <t>Proyectista</t>
        </is>
      </c>
      <c r="C6" s="21">
        <f>INICIO!$D$10&amp;IF(INICIO!$D$11="",""," · CIP "&amp;INICIO!$D$11)</f>
        <v/>
      </c>
      <c r="D6" s="22" t="n"/>
      <c r="E6" s="22" t="n"/>
      <c r="F6" s="22" t="n"/>
      <c r="G6" s="22" t="n"/>
      <c r="H6" s="22" t="n"/>
    </row>
    <row r="7">
      <c r="B7" s="20" t="inlineStr">
        <is>
          <t>Fecha</t>
        </is>
      </c>
      <c r="C7" s="24">
        <f>INICIO!$D$12</f>
        <v/>
      </c>
      <c r="D7" s="22" t="n"/>
      <c r="E7" s="22" t="n"/>
      <c r="F7" s="22" t="n"/>
      <c r="G7" s="22" t="n"/>
      <c r="H7" s="22" t="n"/>
    </row>
    <row r="8"/>
    <row r="9"/>
    <row r="10" ht="17" customHeight="1">
      <c r="B10" s="25" t="inlineStr">
        <is>
          <t>1. REQUISITOS DE LA EM.010 (Art. 6 y Anexo «Requisitos mínimos de iluminación»)</t>
        </is>
      </c>
    </row>
    <row r="11" ht="13.5" customHeight="1">
      <c r="B11" s="9" t="inlineStr">
        <is>
          <t>Uso de la edificación (sección del Anexo)</t>
        </is>
      </c>
      <c r="C11" s="26" t="inlineStr"/>
      <c r="D11" s="27" t="inlineStr">
        <is>
          <t>6. Oficinas</t>
        </is>
      </c>
      <c r="E11" s="28" t="n"/>
      <c r="F11" s="28" t="n"/>
      <c r="G11" s="28" t="n"/>
      <c r="H11" s="28" t="n"/>
    </row>
    <row r="12" ht="13.5" customHeight="1">
      <c r="B12" s="9" t="inlineStr">
        <is>
          <t>Tipo de interior, tarea o actividad</t>
        </is>
      </c>
      <c r="C12" s="26" t="inlineStr"/>
      <c r="D12" s="27" t="inlineStr">
        <is>
          <t>Escritura, mecanografía, lectura, procesamiento de datos</t>
        </is>
      </c>
      <c r="E12" s="28" t="n"/>
      <c r="F12" s="28" t="n"/>
      <c r="G12" s="28" t="n"/>
      <c r="H12" s="28" t="n"/>
    </row>
    <row r="13" hidden="1" ht="13.5" customHeight="1">
      <c r="B13" s="9" t="inlineStr">
        <is>
          <t>Fila en la tabla</t>
        </is>
      </c>
      <c r="C13" s="26" t="inlineStr"/>
      <c r="D13" s="36">
        <f>IFERROR(MATCH($D$11&amp;"|"&amp;$D$12,EM_KEY,0),0)</f>
        <v/>
      </c>
      <c r="E13" s="30" t="inlineStr"/>
    </row>
    <row r="14" ht="13.5" customHeight="1">
      <c r="B14" s="9" t="inlineStr">
        <is>
          <t>Iluminancia mantenida mínima de la norma</t>
        </is>
      </c>
      <c r="C14" s="26" t="inlineStr">
        <is>
          <t>Em</t>
        </is>
      </c>
      <c r="D14" s="36">
        <f>IF($D$13=0,"Elija el ambiente de la lista",INDEX(EM_E,$D$13))</f>
        <v/>
      </c>
      <c r="E14" s="30" t="inlineStr">
        <is>
          <t>lx</t>
        </is>
      </c>
      <c r="F14" s="31" t="inlineStr">
        <is>
          <t>Art. 6.6 y 6.7: valor mínimo medio mantenido</t>
        </is>
      </c>
    </row>
    <row r="15" ht="13.5" customHeight="1">
      <c r="B15" s="9" t="inlineStr">
        <is>
          <t>Índice de deslumbramiento unificado máximo</t>
        </is>
      </c>
      <c r="C15" s="26" t="inlineStr">
        <is>
          <t>UGRL</t>
        </is>
      </c>
      <c r="D15" s="36">
        <f>IF($D$13=0,"—",INDEX(EM_UGR,$D$13))</f>
        <v/>
      </c>
      <c r="E15" s="30" t="inlineStr"/>
      <c r="F15" s="31" t="inlineStr">
        <is>
          <t>Verifíquelo con la fotometría (DIALux, Relux)</t>
        </is>
      </c>
    </row>
    <row r="16" ht="13.5" customHeight="1">
      <c r="B16" s="9" t="inlineStr">
        <is>
          <t>Uniformidad mínima (Emín/Em)</t>
        </is>
      </c>
      <c r="C16" s="26" t="inlineStr">
        <is>
          <t>Uo</t>
        </is>
      </c>
      <c r="D16" s="43">
        <f>IF($D$13=0,"—",INDEX(EM_UO,$D$13))</f>
        <v/>
      </c>
      <c r="E16" s="30" t="inlineStr"/>
      <c r="F16" s="31" t="inlineStr">
        <is>
          <t>Verifíquela con la fotometría</t>
        </is>
      </c>
    </row>
    <row r="17" ht="13.5" customHeight="1">
      <c r="B17" s="9" t="inlineStr">
        <is>
          <t>Índice de reproducción cromática mínimo</t>
        </is>
      </c>
      <c r="C17" s="26" t="inlineStr">
        <is>
          <t>Ra</t>
        </is>
      </c>
      <c r="D17" s="36">
        <f>IF($D$13=0,"—",INDEX(EM_RA,$D$13))</f>
        <v/>
      </c>
      <c r="E17" s="30" t="inlineStr"/>
    </row>
    <row r="18" ht="13.5" customHeight="1">
      <c r="B18" s="9" t="inlineStr">
        <is>
          <t>Iluminancia de diseño del proyectista (opcional)</t>
        </is>
      </c>
      <c r="C18" s="26" t="inlineStr">
        <is>
          <t>Eman</t>
        </is>
      </c>
      <c r="D18" s="53" t="n"/>
      <c r="E18" s="30" t="inlineStr">
        <is>
          <t>lx</t>
        </is>
      </c>
      <c r="F18" s="31" t="inlineStr">
        <is>
          <t>Solo si desea diseñar con un valor mayor</t>
        </is>
      </c>
    </row>
    <row r="19" ht="13.5" customHeight="1">
      <c r="B19" s="39" t="inlineStr">
        <is>
          <t>ILUMINANCIA DE DISEÑO</t>
        </is>
      </c>
      <c r="C19" s="26" t="inlineStr">
        <is>
          <t>E</t>
        </is>
      </c>
      <c r="D19" s="49">
        <f>IF(N($D$18)&gt;0,$D$18,IF(ISNUMBER($D$14),$D$14,0))</f>
        <v/>
      </c>
      <c r="E19" s="30" t="inlineStr">
        <is>
          <t>lx</t>
        </is>
      </c>
    </row>
    <row r="20" ht="24" customHeight="1">
      <c r="B20" s="9" t="inlineStr">
        <is>
          <t>La iluminancia de diseño no es menor que la de la norma</t>
        </is>
      </c>
      <c r="C20" s="42">
        <f>IF(AND($D$19&gt;0,OR(NOT(ISNUMBER($D$14)),$D$19&gt;=$D$14)),"CUMPLE","Elija el ambiente de la lista")</f>
        <v/>
      </c>
      <c r="D20" s="38" t="n"/>
      <c r="E20" s="38" t="n"/>
    </row>
    <row r="21"/>
    <row r="22" ht="17" customHeight="1">
      <c r="B22" s="25" t="inlineStr">
        <is>
          <t>2. GEOMETRÍA DEL LOCAL</t>
        </is>
      </c>
    </row>
    <row r="23" ht="13.5" customHeight="1">
      <c r="B23" s="9" t="inlineStr">
        <is>
          <t>Largo del local</t>
        </is>
      </c>
      <c r="C23" s="26" t="inlineStr">
        <is>
          <t>a</t>
        </is>
      </c>
      <c r="D23" s="29" t="n">
        <v>6</v>
      </c>
      <c r="E23" s="30" t="inlineStr">
        <is>
          <t>m</t>
        </is>
      </c>
    </row>
    <row r="24" ht="13.5" customHeight="1">
      <c r="B24" s="9" t="inlineStr">
        <is>
          <t>Ancho del local</t>
        </is>
      </c>
      <c r="C24" s="26" t="inlineStr">
        <is>
          <t>b</t>
        </is>
      </c>
      <c r="D24" s="29" t="n">
        <v>5</v>
      </c>
      <c r="E24" s="30" t="inlineStr">
        <is>
          <t>m</t>
        </is>
      </c>
    </row>
    <row r="25" ht="13.5" customHeight="1">
      <c r="B25" s="9" t="inlineStr">
        <is>
          <t>Altura del local (piso a techo)</t>
        </is>
      </c>
      <c r="C25" s="26" t="inlineStr">
        <is>
          <t>H</t>
        </is>
      </c>
      <c r="D25" s="29" t="n">
        <v>2.8</v>
      </c>
      <c r="E25" s="30" t="inlineStr">
        <is>
          <t>m</t>
        </is>
      </c>
    </row>
    <row r="26" ht="13.5" customHeight="1">
      <c r="B26" s="9" t="inlineStr">
        <is>
          <t>Altura del plano de trabajo</t>
        </is>
      </c>
      <c r="C26" s="26" t="inlineStr">
        <is>
          <t>hpt</t>
        </is>
      </c>
      <c r="D26" s="29" t="n">
        <v>0.8</v>
      </c>
      <c r="E26" s="30" t="inlineStr">
        <is>
          <t>m</t>
        </is>
      </c>
      <c r="F26" s="31" t="inlineStr">
        <is>
          <t>0.80 m en escritorios y aulas; 0.00 m en pasillos</t>
        </is>
      </c>
    </row>
    <row r="27" ht="13.5" customHeight="1">
      <c r="B27" s="9" t="inlineStr">
        <is>
          <t>Suspensión de la luminaria bajo el techo</t>
        </is>
      </c>
      <c r="C27" s="26" t="inlineStr">
        <is>
          <t>hs</t>
        </is>
      </c>
      <c r="D27" s="29" t="n">
        <v>0</v>
      </c>
      <c r="E27" s="30" t="inlineStr">
        <is>
          <t>m</t>
        </is>
      </c>
      <c r="F27" s="31" t="inlineStr">
        <is>
          <t>0 si es empotrada o adosada</t>
        </is>
      </c>
    </row>
    <row r="28" ht="13.5" customHeight="1">
      <c r="B28" s="9" t="inlineStr">
        <is>
          <t>Área del local</t>
        </is>
      </c>
      <c r="C28" s="26" t="inlineStr">
        <is>
          <t>A</t>
        </is>
      </c>
      <c r="D28" s="43">
        <f>$D$23*$D$24</f>
        <v/>
      </c>
      <c r="E28" s="30" t="inlineStr">
        <is>
          <t>m²</t>
        </is>
      </c>
    </row>
    <row r="29" ht="13.5" customHeight="1">
      <c r="B29" s="9" t="inlineStr">
        <is>
          <t>Altura de montaje sobre el plano de trabajo</t>
        </is>
      </c>
      <c r="C29" s="26" t="inlineStr">
        <is>
          <t>h</t>
        </is>
      </c>
      <c r="D29" s="43">
        <f>$D$25-$D$26-$D$27</f>
        <v/>
      </c>
      <c r="E29" s="30" t="inlineStr">
        <is>
          <t>m</t>
        </is>
      </c>
    </row>
    <row r="30" ht="13.5" customHeight="1">
      <c r="B30" s="9" t="inlineStr">
        <is>
          <t>Altura de montaje positiva</t>
        </is>
      </c>
      <c r="C30" s="42">
        <f>IF($D$29&gt;0,"CUMPLE","NO CUMPLE")</f>
        <v/>
      </c>
      <c r="D30" s="38" t="n"/>
      <c r="E30" s="38" t="n"/>
    </row>
    <row r="31" ht="13.5" customHeight="1">
      <c r="B31" s="9" t="inlineStr">
        <is>
          <t>Índice del local K = a·b / [h·(a + b)]</t>
        </is>
      </c>
      <c r="C31" s="26" t="inlineStr">
        <is>
          <t>K</t>
        </is>
      </c>
      <c r="D31" s="43">
        <f>IF($D$29&gt;0,$D$23*$D$24/($D$29*($D$23+$D$24)),0)</f>
        <v/>
      </c>
      <c r="E31" s="30" t="inlineStr"/>
    </row>
    <row r="32"/>
    <row r="33" ht="17" customHeight="1">
      <c r="B33" s="25" t="inlineStr">
        <is>
          <t>3. REFLECTANCIAS, LUMINARIA Y FACTORES</t>
        </is>
      </c>
    </row>
    <row r="34" ht="13.5" customHeight="1">
      <c r="B34" s="9" t="inlineStr">
        <is>
          <t>Reflectancias techo / paredes / suelo</t>
        </is>
      </c>
      <c r="C34" s="26" t="inlineStr">
        <is>
          <t>ρ</t>
        </is>
      </c>
      <c r="D34" s="27" t="inlineStr">
        <is>
          <t>0.7 / 0.5 / 0.2</t>
        </is>
      </c>
      <c r="E34" s="28" t="n"/>
      <c r="F34" s="28" t="n"/>
      <c r="G34" s="28" t="n"/>
      <c r="H34" s="28" t="n"/>
    </row>
    <row r="35" ht="13.5" customHeight="1">
      <c r="B35" s="9" t="inlineStr">
        <is>
          <t>Luminaria (catálogo de TABLAS)</t>
        </is>
      </c>
      <c r="C35" s="26" t="inlineStr"/>
      <c r="D35" s="27" t="inlineStr">
        <is>
          <t>Panel LED 60×60 cm, 40 W</t>
        </is>
      </c>
      <c r="E35" s="28" t="n"/>
      <c r="F35" s="28" t="n"/>
      <c r="G35" s="28" t="n"/>
      <c r="H35" s="28" t="n"/>
    </row>
    <row r="36" ht="24" customHeight="1">
      <c r="B36" s="9" t="inlineStr">
        <is>
          <t>Flujo luminoso de la luminaria del fabricante (opcional)</t>
        </is>
      </c>
      <c r="C36" s="26" t="inlineStr">
        <is>
          <t>Φman</t>
        </is>
      </c>
      <c r="D36" s="53" t="n"/>
      <c r="E36" s="30" t="inlineStr">
        <is>
          <t>lm</t>
        </is>
      </c>
    </row>
    <row r="37" ht="13.5" customHeight="1">
      <c r="B37" s="9" t="inlineStr">
        <is>
          <t>Potencia de la luminaria del fabricante (opcional)</t>
        </is>
      </c>
      <c r="C37" s="26" t="inlineStr">
        <is>
          <t>Pman</t>
        </is>
      </c>
      <c r="D37" s="52" t="n"/>
      <c r="E37" s="30" t="inlineStr">
        <is>
          <t>W</t>
        </is>
      </c>
    </row>
    <row r="38" ht="13.5" customHeight="1">
      <c r="B38" s="9" t="inlineStr">
        <is>
          <t>Ra de la luminaria del fabricante (opcional)</t>
        </is>
      </c>
      <c r="C38" s="26" t="inlineStr">
        <is>
          <t>Ra,man</t>
        </is>
      </c>
      <c r="D38" s="53" t="n"/>
      <c r="E38" s="30" t="inlineStr"/>
    </row>
    <row r="39" hidden="1" ht="13.5" customHeight="1">
      <c r="B39" s="9" t="inlineStr">
        <is>
          <t>Fila del catálogo</t>
        </is>
      </c>
      <c r="C39" s="26" t="inlineStr"/>
      <c r="D39" s="36">
        <f>MATCH($D$35,LUM_NOM,0)</f>
        <v/>
      </c>
      <c r="E39" s="30" t="inlineStr"/>
    </row>
    <row r="40" ht="13.5" customHeight="1">
      <c r="B40" s="9" t="inlineStr">
        <is>
          <t>Flujo luminoso por luminaria</t>
        </is>
      </c>
      <c r="C40" s="26" t="inlineStr">
        <is>
          <t>Φ</t>
        </is>
      </c>
      <c r="D40" s="36">
        <f>IF(N($D$36)&gt;0,$D$36,INDEX(LUM_FLU,$D$39))</f>
        <v/>
      </c>
      <c r="E40" s="30" t="inlineStr">
        <is>
          <t>lm</t>
        </is>
      </c>
    </row>
    <row r="41" ht="13.5" customHeight="1">
      <c r="B41" s="9" t="inlineStr">
        <is>
          <t>Potencia por luminaria</t>
        </is>
      </c>
      <c r="C41" s="26" t="inlineStr">
        <is>
          <t>P</t>
        </is>
      </c>
      <c r="D41" s="35">
        <f>IF(N($D$37)&gt;0,$D$37,INDEX(LUM_W,$D$39))</f>
        <v/>
      </c>
      <c r="E41" s="30" t="inlineStr">
        <is>
          <t>W</t>
        </is>
      </c>
    </row>
    <row r="42" ht="13.5" customHeight="1">
      <c r="B42" s="9" t="inlineStr">
        <is>
          <t>Ra de la luminaria</t>
        </is>
      </c>
      <c r="C42" s="26" t="inlineStr">
        <is>
          <t>Ra</t>
        </is>
      </c>
      <c r="D42" s="36">
        <f>IF(N($D$38)&gt;0,$D$38,INDEX(LUM_RA,$D$39))</f>
        <v/>
      </c>
      <c r="E42" s="30" t="inlineStr"/>
    </row>
    <row r="43" ht="13.5" customHeight="1">
      <c r="B43" s="9" t="inlineStr">
        <is>
          <t>Distribución luminosa</t>
        </is>
      </c>
      <c r="C43" s="26" t="inlineStr"/>
      <c r="D43" s="37">
        <f>IF(INDEX(LUM_DIS,$D$39)=2,"Concentrada","Difusa")</f>
        <v/>
      </c>
      <c r="E43" s="38" t="n"/>
      <c r="F43" s="38" t="n"/>
      <c r="G43" s="38" t="n"/>
      <c r="H43" s="38" t="n"/>
    </row>
    <row r="44" ht="24" customHeight="1">
      <c r="B44" s="9" t="inlineStr">
        <is>
          <t>Factor de utilización de la tabla genérica (interpolado)</t>
        </is>
      </c>
      <c r="C44" s="26" t="inlineStr">
        <is>
          <t>CUt</t>
        </is>
      </c>
      <c r="D44" s="43">
        <f>P44</f>
        <v/>
      </c>
      <c r="E44" s="30" t="inlineStr"/>
      <c r="F44" s="31" t="inlineStr">
        <is>
          <t>Tabla referencial de ALF_BIM (ver TABLAS)</t>
        </is>
      </c>
      <c r="K44" s="54">
        <f>MIN(5,MAX(0.3,$D$31))</f>
        <v/>
      </c>
      <c r="L44" s="18">
        <f>MATCH(K44,CU_K,1)</f>
        <v/>
      </c>
      <c r="M44" s="18">
        <f>(INDEX(LUM_DIS,$D$39)-1)*10+MATCH($D$34,REFL_NOM,0)</f>
        <v/>
      </c>
      <c r="N44" s="54">
        <f>INDEX(CU_TAB,M44,L44)</f>
        <v/>
      </c>
      <c r="O44" s="54">
        <f>INDEX(CU_TAB,M44,MIN(L44+1,13))</f>
        <v/>
      </c>
      <c r="P44" s="54">
        <f>IF(L44&gt;=13,N44,N44+(O44-N44)*(K44-INDEX(CU_K,L44))/(INDEX(CU_K,L44+1)-INDEX(CU_K,L44)))</f>
        <v/>
      </c>
    </row>
    <row r="45" ht="13.5" customHeight="1">
      <c r="B45" s="9" t="inlineStr">
        <is>
          <t>Factor de utilización del fabricante (recomendado)</t>
        </is>
      </c>
      <c r="C45" s="26" t="inlineStr">
        <is>
          <t>CUf</t>
        </is>
      </c>
      <c r="D45" s="29" t="n"/>
      <c r="E45" s="30" t="inlineStr"/>
      <c r="F45" s="31" t="inlineStr">
        <is>
          <t>De la tabla fotométrica de la luminaria</t>
        </is>
      </c>
    </row>
    <row r="46" ht="13.5" customHeight="1">
      <c r="B46" s="9" t="inlineStr">
        <is>
          <t>Factor de utilización adoptado</t>
        </is>
      </c>
      <c r="C46" s="26" t="inlineStr">
        <is>
          <t>CU</t>
        </is>
      </c>
      <c r="D46" s="43">
        <f>IF(N($D$45)&gt;0,$D$45,$D$44)</f>
        <v/>
      </c>
      <c r="E46" s="30" t="inlineStr"/>
    </row>
    <row r="47" ht="24" customHeight="1">
      <c r="B47" s="9" t="inlineStr">
        <is>
          <t>Índice del local dentro de la tabla genérica (K ≥ 0.3)</t>
        </is>
      </c>
      <c r="C47" s="42">
        <f>IF(N($D$45)&gt;0,"—",IF($D$31&gt;=0.3,"CUMPLE","AVISO: K &lt; 0.3, use el CU del fabricante"))</f>
        <v/>
      </c>
      <c r="D47" s="38" t="n"/>
      <c r="E47" s="38" t="n"/>
    </row>
    <row r="48" ht="13.5" customHeight="1">
      <c r="B48" s="9" t="inlineStr">
        <is>
          <t>Factor de mantenimiento (EM.010 Art. 6.5)</t>
        </is>
      </c>
      <c r="C48" s="26" t="inlineStr"/>
      <c r="D48" s="27" t="inlineStr">
        <is>
          <t>Ambiente limpio, LED, limpieza anual (oficinas, aulas, salud)</t>
        </is>
      </c>
      <c r="E48" s="28" t="n"/>
      <c r="F48" s="28" t="n"/>
      <c r="G48" s="28" t="n"/>
      <c r="H48" s="28" t="n"/>
    </row>
    <row r="49" ht="24" customHeight="1">
      <c r="B49" s="9" t="inlineStr">
        <is>
          <t>Factor de mantenimiento del proyectista (solo con «Valor del proyectista»)</t>
        </is>
      </c>
      <c r="C49" s="26" t="inlineStr">
        <is>
          <t>FMman</t>
        </is>
      </c>
      <c r="D49" s="29" t="n"/>
      <c r="E49" s="30" t="inlineStr"/>
    </row>
    <row r="50" ht="13.5" customHeight="1">
      <c r="B50" s="9" t="inlineStr">
        <is>
          <t>Factor de mantenimiento adoptado</t>
        </is>
      </c>
      <c r="C50" s="26" t="inlineStr">
        <is>
          <t>FM</t>
        </is>
      </c>
      <c r="D50" s="43">
        <f>IF(INDEX(FM_VAL,MATCH($D$48,FM_NOM,0))="",N($D$49),INDEX(FM_VAL,MATCH($D$48,FM_NOM,0)))</f>
        <v/>
      </c>
      <c r="E50" s="30" t="inlineStr"/>
      <c r="F50" s="31" t="inlineStr">
        <is>
          <t>Anote en la memoria los supuestos de limpieza y reposición</t>
        </is>
      </c>
    </row>
    <row r="51"/>
    <row r="52" ht="17" customHeight="1">
      <c r="B52" s="25" t="inlineStr">
        <is>
          <t>4. NÚMERO Y DISTRIBUCIÓN DE LUMINARIAS</t>
        </is>
      </c>
    </row>
    <row r="53" ht="36" customHeight="1">
      <c r="B53" s="31" t="inlineStr">
        <is>
          <t>Método de los lúmenes:  N = E·A / (Φ·CU·FM).   Distribución: Nx ≈ √(N·a/b) luminarias a lo largo y Ny = N/Nx a lo ancho (entre cuatro grillas cercanas se elige la de menos luminarias que cumple la separación máxima); separación a/Nx y b/Ny, y la mitad junto a las paredes.</t>
        </is>
      </c>
    </row>
    <row r="54" ht="13.5" customHeight="1">
      <c r="B54" s="9" t="inlineStr">
        <is>
          <t>Número de luminarias calculado</t>
        </is>
      </c>
      <c r="C54" s="26" t="inlineStr">
        <is>
          <t>Nc</t>
        </is>
      </c>
      <c r="D54" s="43">
        <f>IF($D$40*$D$46*$D$50=0,0,$D$19*$D$28/($D$40*$D$46*$D$50))</f>
        <v/>
      </c>
      <c r="E54" s="30" t="inlineStr"/>
    </row>
    <row r="55" ht="13.5" customHeight="1">
      <c r="B55" s="9" t="inlineStr">
        <is>
          <t>Relación separación/altura máxima de la luminaria</t>
        </is>
      </c>
      <c r="C55" s="26" t="inlineStr">
        <is>
          <t>SHR</t>
        </is>
      </c>
      <c r="D55" s="29" t="n">
        <v>1.5</v>
      </c>
      <c r="E55" s="30" t="inlineStr"/>
      <c r="F55" s="31" t="inlineStr">
        <is>
          <t>Del fabricante; 1.5 si no se conoce</t>
        </is>
      </c>
    </row>
    <row r="56" ht="13.5" customHeight="1">
      <c r="B56" s="9" t="inlineStr">
        <is>
          <t>Luminarias a lo largo (automático)</t>
        </is>
      </c>
      <c r="C56" s="26" t="inlineStr"/>
      <c r="D56" s="36">
        <f>INDEX($K$56:$K$59,$N$56)</f>
        <v/>
      </c>
      <c r="E56" s="30" t="inlineStr"/>
      <c r="F56" s="31" t="inlineStr">
        <is>
          <t>Grilla con menos luminarias que respeta SHR·h y dx/dy ≤ 2</t>
        </is>
      </c>
      <c r="K56" s="18">
        <f>MAX(1,$P$56-1+0)</f>
        <v/>
      </c>
      <c r="L56" s="18">
        <f>MAX(1,ROUNDUP($D$54/K56,0))</f>
        <v/>
      </c>
      <c r="M56" s="54">
        <f>IF(AND(MAX($D$23/K56,$D$24/L56)&lt;=$D$55*$D$29,MAX($D$23/K56,$D$24/L56)&lt;=2*MIN($D$23/K56,$D$24/L56)),K56*L56+ABS(LN($D$23/K56/$D$24/L56))/100,10000+MAX($D$23/K56,$D$24/L56))</f>
        <v/>
      </c>
      <c r="N56" s="18">
        <f>MATCH(MIN($M$56:$M$59),$M$56:$M$59,0)</f>
        <v/>
      </c>
      <c r="P56" s="18">
        <f>MAX(1,INT(SQRT($D$54*$D$23/$D$24)))</f>
        <v/>
      </c>
    </row>
    <row r="57" ht="13.5" customHeight="1">
      <c r="B57" s="9" t="inlineStr">
        <is>
          <t>Luminarias a lo ancho (automático)</t>
        </is>
      </c>
      <c r="C57" s="26" t="inlineStr"/>
      <c r="D57" s="36">
        <f>INDEX($L$56:$L$59,$N$56)</f>
        <v/>
      </c>
      <c r="E57" s="30" t="inlineStr"/>
      <c r="K57" s="18">
        <f>MAX(1,$P$56-1+1)</f>
        <v/>
      </c>
      <c r="L57" s="18">
        <f>MAX(1,ROUNDUP($D$54/K57,0))</f>
        <v/>
      </c>
      <c r="M57" s="54">
        <f>IF(AND(MAX($D$23/K57,$D$24/L57)&lt;=$D$55*$D$29,MAX($D$23/K57,$D$24/L57)&lt;=2*MIN($D$23/K57,$D$24/L57)),K57*L57+ABS(LN($D$23/K57/$D$24/L57))/100,10000+MAX($D$23/K57,$D$24/L57))</f>
        <v/>
      </c>
    </row>
    <row r="58" ht="13.5" customHeight="1">
      <c r="B58" s="9" t="inlineStr">
        <is>
          <t>Luminarias a lo largo del proyectista (opcional)</t>
        </is>
      </c>
      <c r="C58" s="26" t="inlineStr"/>
      <c r="D58" s="53" t="n"/>
      <c r="E58" s="30" t="inlineStr"/>
      <c r="K58" s="18">
        <f>MAX(1,$P$56-1+2)</f>
        <v/>
      </c>
      <c r="L58" s="18">
        <f>MAX(1,ROUNDUP($D$54/K58,0))</f>
        <v/>
      </c>
      <c r="M58" s="54">
        <f>IF(AND(MAX($D$23/K58,$D$24/L58)&lt;=$D$55*$D$29,MAX($D$23/K58,$D$24/L58)&lt;=2*MIN($D$23/K58,$D$24/L58)),K58*L58+ABS(LN($D$23/K58/$D$24/L58))/100,10000+MAX($D$23/K58,$D$24/L58))</f>
        <v/>
      </c>
    </row>
    <row r="59" ht="13.5" customHeight="1">
      <c r="B59" s="9" t="inlineStr">
        <is>
          <t>Luminarias a lo ancho del proyectista (opcional)</t>
        </is>
      </c>
      <c r="C59" s="26" t="inlineStr"/>
      <c r="D59" s="53" t="n"/>
      <c r="E59" s="30" t="inlineStr"/>
      <c r="K59" s="18">
        <f>MAX(1,$P$56-1+3)</f>
        <v/>
      </c>
      <c r="L59" s="18">
        <f>MAX(1,ROUNDUP($D$54/K59,0))</f>
        <v/>
      </c>
      <c r="M59" s="54">
        <f>IF(AND(MAX($D$23/K59,$D$24/L59)&lt;=$D$55*$D$29,MAX($D$23/K59,$D$24/L59)&lt;=2*MIN($D$23/K59,$D$24/L59)),K59*L59+ABS(LN($D$23/K59/$D$24/L59))/100,10000+MAX($D$23/K59,$D$24/L59))</f>
        <v/>
      </c>
    </row>
    <row r="60" ht="13.5" customHeight="1">
      <c r="B60" s="9" t="inlineStr">
        <is>
          <t>Luminarias a lo largo adoptadas</t>
        </is>
      </c>
      <c r="C60" s="26" t="inlineStr">
        <is>
          <t>Nx</t>
        </is>
      </c>
      <c r="D60" s="36">
        <f>IF(N($D$58)&gt;0,ROUND($D$58,0),$D$56)</f>
        <v/>
      </c>
      <c r="E60" s="30" t="inlineStr"/>
    </row>
    <row r="61" ht="13.5" customHeight="1">
      <c r="B61" s="9" t="inlineStr">
        <is>
          <t>Luminarias a lo ancho adoptadas</t>
        </is>
      </c>
      <c r="C61" s="26" t="inlineStr">
        <is>
          <t>Ny</t>
        </is>
      </c>
      <c r="D61" s="36">
        <f>IF(N($D$59)&gt;0,ROUND($D$59,0),$D$57)</f>
        <v/>
      </c>
      <c r="E61" s="30" t="inlineStr"/>
    </row>
    <row r="62" ht="13.5" customHeight="1">
      <c r="B62" s="39" t="inlineStr">
        <is>
          <t>NÚMERO DE LUMINARIAS</t>
        </is>
      </c>
      <c r="C62" s="26" t="inlineStr">
        <is>
          <t>N</t>
        </is>
      </c>
      <c r="D62" s="49">
        <f>$D$60*$D$61</f>
        <v/>
      </c>
      <c r="E62" s="30" t="inlineStr"/>
    </row>
    <row r="63" ht="13.5" customHeight="1">
      <c r="B63" s="39" t="inlineStr">
        <is>
          <t>ILUMINANCIA MEDIA MANTENIDA OBTENIDA</t>
        </is>
      </c>
      <c r="C63" s="26" t="inlineStr">
        <is>
          <t>Em</t>
        </is>
      </c>
      <c r="D63" s="49">
        <f>IF($D$28=0,0,$D$62*$D$40*$D$46*$D$50/$D$28)</f>
        <v/>
      </c>
      <c r="E63" s="30" t="inlineStr">
        <is>
          <t>lx</t>
        </is>
      </c>
    </row>
    <row r="64" ht="13.5" customHeight="1">
      <c r="B64" s="9" t="inlineStr">
        <is>
          <t>Em obtenida ≥ E de diseño (EM.010 Art. 6.7)</t>
        </is>
      </c>
      <c r="C64" s="42">
        <f>IF(AND($D$19&gt;0,$D$63&gt;=$D$19),"CUMPLE","NO CUMPLE")</f>
        <v/>
      </c>
      <c r="D64" s="38" t="n"/>
      <c r="E64" s="38" t="n"/>
    </row>
    <row r="65" ht="13.5" customHeight="1">
      <c r="B65" s="9" t="inlineStr">
        <is>
          <t>Exceso sobre la iluminancia de diseño</t>
        </is>
      </c>
      <c r="C65" s="26" t="inlineStr"/>
      <c r="D65" s="45">
        <f>IF($D$19=0,0,$D$63/$D$19-1)</f>
        <v/>
      </c>
      <c r="E65" s="30" t="inlineStr"/>
    </row>
    <row r="66" ht="13.5" customHeight="1">
      <c r="B66" s="9" t="inlineStr">
        <is>
          <t>Separación a lo largo (a/Nx)</t>
        </is>
      </c>
      <c r="C66" s="26" t="inlineStr">
        <is>
          <t>dx</t>
        </is>
      </c>
      <c r="D66" s="43">
        <f>$D$23/$D$60</f>
        <v/>
      </c>
      <c r="E66" s="30" t="inlineStr">
        <is>
          <t>m</t>
        </is>
      </c>
      <c r="F66" s="31" t="inlineStr">
        <is>
          <t>Junto a las paredes: dx/2</t>
        </is>
      </c>
    </row>
    <row r="67" ht="13.5" customHeight="1">
      <c r="B67" s="9" t="inlineStr">
        <is>
          <t>Separación a lo ancho (b/Ny)</t>
        </is>
      </c>
      <c r="C67" s="26" t="inlineStr">
        <is>
          <t>dy</t>
        </is>
      </c>
      <c r="D67" s="43">
        <f>$D$24/$D$61</f>
        <v/>
      </c>
      <c r="E67" s="30" t="inlineStr">
        <is>
          <t>m</t>
        </is>
      </c>
      <c r="F67" s="31" t="inlineStr">
        <is>
          <t>Junto a las paredes: dy/2</t>
        </is>
      </c>
    </row>
    <row r="68" ht="13.5" customHeight="1">
      <c r="B68" s="9" t="inlineStr">
        <is>
          <t>Separación máxima ≤ SHR·h (uniformidad)</t>
        </is>
      </c>
      <c r="C68" s="42">
        <f>IF(MAX($D$66,$D$67)&lt;=$D$55*$D$29,"CUMPLE","NO CUMPLE")</f>
        <v/>
      </c>
      <c r="D68" s="38" t="n"/>
      <c r="E68" s="38" t="n"/>
    </row>
    <row r="69" ht="13.5" customHeight="1">
      <c r="B69" s="9" t="inlineStr">
        <is>
          <t>Ra de la luminaria ≥ Ra de la norma</t>
        </is>
      </c>
      <c r="C69" s="42">
        <f>IF(NOT(ISNUMBER($D$17)),"—",IF($D$42&gt;=$D$17,"CUMPLE","NO CUMPLE"))</f>
        <v/>
      </c>
      <c r="D69" s="38" t="n"/>
      <c r="E69" s="38" t="n"/>
    </row>
    <row r="70" ht="36" customHeight="1">
      <c r="B70" s="31" t="inlineStr">
        <is>
          <t>La EM.010 (Art. 6.8) pide, cuando se calcula con programa, adjuntar el archivo, los parámetros y los resultados. El método de los lúmenes da la iluminancia media; el UGRL y la Uo se verifican con la fotometría de la luminaria (DIALux, Relux).</t>
        </is>
      </c>
    </row>
    <row r="71"/>
    <row r="72" ht="17" customHeight="1">
      <c r="B72" s="25" t="inlineStr">
        <is>
          <t>5. POTENCIA Y EFICIENCIA</t>
        </is>
      </c>
    </row>
    <row r="73" ht="13.5" customHeight="1">
      <c r="B73" s="9" t="inlineStr">
        <is>
          <t>Potencia instalada de alumbrado</t>
        </is>
      </c>
      <c r="C73" s="26" t="inlineStr">
        <is>
          <t>Pt</t>
        </is>
      </c>
      <c r="D73" s="36">
        <f>$D$62*$D$41</f>
        <v/>
      </c>
      <c r="E73" s="30" t="inlineStr">
        <is>
          <t>W</t>
        </is>
      </c>
    </row>
    <row r="74" ht="13.5" customHeight="1">
      <c r="B74" s="9" t="inlineStr">
        <is>
          <t>Densidad de potencia</t>
        </is>
      </c>
      <c r="C74" s="26" t="inlineStr"/>
      <c r="D74" s="43">
        <f>IF($D$28=0,0,$D$73/$D$28)</f>
        <v/>
      </c>
      <c r="E74" s="30" t="inlineStr">
        <is>
          <t>W/m²</t>
        </is>
      </c>
    </row>
    <row r="75" ht="13.5" customHeight="1">
      <c r="B75" s="9" t="inlineStr">
        <is>
          <t>Potencia por cada 100 lx</t>
        </is>
      </c>
      <c r="C75" s="26" t="inlineStr"/>
      <c r="D75" s="43">
        <f>IF($D$63=0,0,$D$74/($D$63/100))</f>
        <v/>
      </c>
      <c r="E75" s="30" t="inlineStr">
        <is>
          <t>W/m²·100 lx</t>
        </is>
      </c>
    </row>
    <row r="76" ht="30" customHeight="1">
      <c r="B76" s="50">
        <f>"RESULTADO: "&amp;$D$62&amp;" luminarias «"&amp;$D$35&amp;"» ("&amp;$D$60&amp;" × "&amp;$D$61&amp;"), Em = "&amp;FIXED($D$63,0,TRUE)&amp;" lx frente a "&amp;FIXED($D$19,0,TRUE)&amp;" lx requeridos; "&amp;FIXED($D$73,0)&amp;" W ("&amp;FIXED($D$74,1,TRUE)&amp;" W/m²)."</f>
        <v/>
      </c>
      <c r="C76" s="38" t="n"/>
      <c r="D76" s="38" t="n"/>
      <c r="E76" s="38" t="n"/>
      <c r="F76" s="38" t="n"/>
      <c r="G76" s="38" t="n"/>
      <c r="H76" s="38" t="n"/>
    </row>
    <row r="77"/>
    <row r="78" ht="17" customHeight="1">
      <c r="B78" s="25" t="inlineStr">
        <is>
          <t>6. DISTRIBUCIÓN EN PLANTA (esquema)</t>
        </is>
      </c>
    </row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 ht="24" customHeight="1">
      <c r="B100" s="31" t="inlineStr">
        <is>
          <t>Luminarias (cuadros amarillos) a dx/2 y dy/2 de las paredes. Esquema sin escala exacta; ubique las luminarias en el plano respetando vigas, ductos y el mobiliario.</t>
        </is>
      </c>
    </row>
    <row r="101"/>
    <row r="118">
      <c r="K118" s="18" t="inlineStr">
        <is>
          <t>x</t>
        </is>
      </c>
      <c r="L118" s="18" t="inlineStr">
        <is>
          <t>y</t>
        </is>
      </c>
    </row>
    <row r="119">
      <c r="K119" s="51">
        <f>IF(AND(1&lt;=$D$60,1&lt;=$D$61),(1-0.5)*$D$66,NA())</f>
        <v/>
      </c>
      <c r="L119" s="51">
        <f>IF(AND(1&lt;=$D$60,1&lt;=$D$61),(1-0.5)*$D$67,NA())</f>
        <v/>
      </c>
    </row>
    <row r="120">
      <c r="K120" s="51">
        <f>IF(AND(1&lt;=$D$60,2&lt;=$D$61),(1-0.5)*$D$66,NA())</f>
        <v/>
      </c>
      <c r="L120" s="51">
        <f>IF(AND(1&lt;=$D$60,2&lt;=$D$61),(2-0.5)*$D$67,NA())</f>
        <v/>
      </c>
    </row>
    <row r="121">
      <c r="K121" s="51">
        <f>IF(AND(1&lt;=$D$60,3&lt;=$D$61),(1-0.5)*$D$66,NA())</f>
        <v/>
      </c>
      <c r="L121" s="51">
        <f>IF(AND(1&lt;=$D$60,3&lt;=$D$61),(3-0.5)*$D$67,NA())</f>
        <v/>
      </c>
    </row>
    <row r="122">
      <c r="K122" s="51">
        <f>IF(AND(1&lt;=$D$60,4&lt;=$D$61),(1-0.5)*$D$66,NA())</f>
        <v/>
      </c>
      <c r="L122" s="51">
        <f>IF(AND(1&lt;=$D$60,4&lt;=$D$61),(4-0.5)*$D$67,NA())</f>
        <v/>
      </c>
    </row>
    <row r="123">
      <c r="K123" s="51">
        <f>IF(AND(1&lt;=$D$60,5&lt;=$D$61),(1-0.5)*$D$66,NA())</f>
        <v/>
      </c>
      <c r="L123" s="51">
        <f>IF(AND(1&lt;=$D$60,5&lt;=$D$61),(5-0.5)*$D$67,NA())</f>
        <v/>
      </c>
    </row>
    <row r="124">
      <c r="K124" s="51">
        <f>IF(AND(1&lt;=$D$60,6&lt;=$D$61),(1-0.5)*$D$66,NA())</f>
        <v/>
      </c>
      <c r="L124" s="51">
        <f>IF(AND(1&lt;=$D$60,6&lt;=$D$61),(6-0.5)*$D$67,NA())</f>
        <v/>
      </c>
    </row>
    <row r="125">
      <c r="K125" s="51">
        <f>IF(AND(1&lt;=$D$60,7&lt;=$D$61),(1-0.5)*$D$66,NA())</f>
        <v/>
      </c>
      <c r="L125" s="51">
        <f>IF(AND(1&lt;=$D$60,7&lt;=$D$61),(7-0.5)*$D$67,NA())</f>
        <v/>
      </c>
    </row>
    <row r="126">
      <c r="K126" s="51">
        <f>IF(AND(1&lt;=$D$60,8&lt;=$D$61),(1-0.5)*$D$66,NA())</f>
        <v/>
      </c>
      <c r="L126" s="51">
        <f>IF(AND(1&lt;=$D$60,8&lt;=$D$61),(8-0.5)*$D$67,NA())</f>
        <v/>
      </c>
    </row>
    <row r="127">
      <c r="K127" s="51">
        <f>IF(AND(1&lt;=$D$60,9&lt;=$D$61),(1-0.5)*$D$66,NA())</f>
        <v/>
      </c>
      <c r="L127" s="51">
        <f>IF(AND(1&lt;=$D$60,9&lt;=$D$61),(9-0.5)*$D$67,NA())</f>
        <v/>
      </c>
    </row>
    <row r="128">
      <c r="K128" s="51">
        <f>IF(AND(1&lt;=$D$60,10&lt;=$D$61),(1-0.5)*$D$66,NA())</f>
        <v/>
      </c>
      <c r="L128" s="51">
        <f>IF(AND(1&lt;=$D$60,10&lt;=$D$61),(10-0.5)*$D$67,NA())</f>
        <v/>
      </c>
    </row>
    <row r="129">
      <c r="K129" s="51">
        <f>IF(AND(1&lt;=$D$60,11&lt;=$D$61),(1-0.5)*$D$66,NA())</f>
        <v/>
      </c>
      <c r="L129" s="51">
        <f>IF(AND(1&lt;=$D$60,11&lt;=$D$61),(11-0.5)*$D$67,NA())</f>
        <v/>
      </c>
    </row>
    <row r="130">
      <c r="K130" s="51">
        <f>IF(AND(1&lt;=$D$60,12&lt;=$D$61),(1-0.5)*$D$66,NA())</f>
        <v/>
      </c>
      <c r="L130" s="51">
        <f>IF(AND(1&lt;=$D$60,12&lt;=$D$61),(12-0.5)*$D$67,NA())</f>
        <v/>
      </c>
    </row>
    <row r="131">
      <c r="K131" s="51">
        <f>IF(AND(1&lt;=$D$60,13&lt;=$D$61),(1-0.5)*$D$66,NA())</f>
        <v/>
      </c>
      <c r="L131" s="51">
        <f>IF(AND(1&lt;=$D$60,13&lt;=$D$61),(13-0.5)*$D$67,NA())</f>
        <v/>
      </c>
    </row>
    <row r="132">
      <c r="K132" s="51">
        <f>IF(AND(1&lt;=$D$60,14&lt;=$D$61),(1-0.5)*$D$66,NA())</f>
        <v/>
      </c>
      <c r="L132" s="51">
        <f>IF(AND(1&lt;=$D$60,14&lt;=$D$61),(14-0.5)*$D$67,NA())</f>
        <v/>
      </c>
    </row>
    <row r="133">
      <c r="K133" s="51">
        <f>IF(AND(1&lt;=$D$60,15&lt;=$D$61),(1-0.5)*$D$66,NA())</f>
        <v/>
      </c>
      <c r="L133" s="51">
        <f>IF(AND(1&lt;=$D$60,15&lt;=$D$61),(15-0.5)*$D$67,NA())</f>
        <v/>
      </c>
    </row>
    <row r="134">
      <c r="K134" s="51">
        <f>IF(AND(2&lt;=$D$60,1&lt;=$D$61),(2-0.5)*$D$66,NA())</f>
        <v/>
      </c>
      <c r="L134" s="51">
        <f>IF(AND(2&lt;=$D$60,1&lt;=$D$61),(1-0.5)*$D$67,NA())</f>
        <v/>
      </c>
    </row>
    <row r="135">
      <c r="K135" s="51">
        <f>IF(AND(2&lt;=$D$60,2&lt;=$D$61),(2-0.5)*$D$66,NA())</f>
        <v/>
      </c>
      <c r="L135" s="51">
        <f>IF(AND(2&lt;=$D$60,2&lt;=$D$61),(2-0.5)*$D$67,NA())</f>
        <v/>
      </c>
    </row>
    <row r="136">
      <c r="K136" s="51">
        <f>IF(AND(2&lt;=$D$60,3&lt;=$D$61),(2-0.5)*$D$66,NA())</f>
        <v/>
      </c>
      <c r="L136" s="51">
        <f>IF(AND(2&lt;=$D$60,3&lt;=$D$61),(3-0.5)*$D$67,NA())</f>
        <v/>
      </c>
    </row>
    <row r="137">
      <c r="K137" s="51">
        <f>IF(AND(2&lt;=$D$60,4&lt;=$D$61),(2-0.5)*$D$66,NA())</f>
        <v/>
      </c>
      <c r="L137" s="51">
        <f>IF(AND(2&lt;=$D$60,4&lt;=$D$61),(4-0.5)*$D$67,NA())</f>
        <v/>
      </c>
    </row>
    <row r="138">
      <c r="K138" s="51">
        <f>IF(AND(2&lt;=$D$60,5&lt;=$D$61),(2-0.5)*$D$66,NA())</f>
        <v/>
      </c>
      <c r="L138" s="51">
        <f>IF(AND(2&lt;=$D$60,5&lt;=$D$61),(5-0.5)*$D$67,NA())</f>
        <v/>
      </c>
    </row>
    <row r="139">
      <c r="K139" s="51">
        <f>IF(AND(2&lt;=$D$60,6&lt;=$D$61),(2-0.5)*$D$66,NA())</f>
        <v/>
      </c>
      <c r="L139" s="51">
        <f>IF(AND(2&lt;=$D$60,6&lt;=$D$61),(6-0.5)*$D$67,NA())</f>
        <v/>
      </c>
    </row>
    <row r="140">
      <c r="K140" s="51">
        <f>IF(AND(2&lt;=$D$60,7&lt;=$D$61),(2-0.5)*$D$66,NA())</f>
        <v/>
      </c>
      <c r="L140" s="51">
        <f>IF(AND(2&lt;=$D$60,7&lt;=$D$61),(7-0.5)*$D$67,NA())</f>
        <v/>
      </c>
    </row>
    <row r="141">
      <c r="K141" s="51">
        <f>IF(AND(2&lt;=$D$60,8&lt;=$D$61),(2-0.5)*$D$66,NA())</f>
        <v/>
      </c>
      <c r="L141" s="51">
        <f>IF(AND(2&lt;=$D$60,8&lt;=$D$61),(8-0.5)*$D$67,NA())</f>
        <v/>
      </c>
    </row>
    <row r="142">
      <c r="K142" s="51">
        <f>IF(AND(2&lt;=$D$60,9&lt;=$D$61),(2-0.5)*$D$66,NA())</f>
        <v/>
      </c>
      <c r="L142" s="51">
        <f>IF(AND(2&lt;=$D$60,9&lt;=$D$61),(9-0.5)*$D$67,NA())</f>
        <v/>
      </c>
    </row>
    <row r="143">
      <c r="K143" s="51">
        <f>IF(AND(2&lt;=$D$60,10&lt;=$D$61),(2-0.5)*$D$66,NA())</f>
        <v/>
      </c>
      <c r="L143" s="51">
        <f>IF(AND(2&lt;=$D$60,10&lt;=$D$61),(10-0.5)*$D$67,NA())</f>
        <v/>
      </c>
    </row>
    <row r="144">
      <c r="K144" s="51">
        <f>IF(AND(2&lt;=$D$60,11&lt;=$D$61),(2-0.5)*$D$66,NA())</f>
        <v/>
      </c>
      <c r="L144" s="51">
        <f>IF(AND(2&lt;=$D$60,11&lt;=$D$61),(11-0.5)*$D$67,NA())</f>
        <v/>
      </c>
    </row>
    <row r="145">
      <c r="K145" s="51">
        <f>IF(AND(2&lt;=$D$60,12&lt;=$D$61),(2-0.5)*$D$66,NA())</f>
        <v/>
      </c>
      <c r="L145" s="51">
        <f>IF(AND(2&lt;=$D$60,12&lt;=$D$61),(12-0.5)*$D$67,NA())</f>
        <v/>
      </c>
    </row>
    <row r="146">
      <c r="K146" s="51">
        <f>IF(AND(2&lt;=$D$60,13&lt;=$D$61),(2-0.5)*$D$66,NA())</f>
        <v/>
      </c>
      <c r="L146" s="51">
        <f>IF(AND(2&lt;=$D$60,13&lt;=$D$61),(13-0.5)*$D$67,NA())</f>
        <v/>
      </c>
    </row>
    <row r="147">
      <c r="K147" s="51">
        <f>IF(AND(2&lt;=$D$60,14&lt;=$D$61),(2-0.5)*$D$66,NA())</f>
        <v/>
      </c>
      <c r="L147" s="51">
        <f>IF(AND(2&lt;=$D$60,14&lt;=$D$61),(14-0.5)*$D$67,NA())</f>
        <v/>
      </c>
    </row>
    <row r="148">
      <c r="K148" s="51">
        <f>IF(AND(2&lt;=$D$60,15&lt;=$D$61),(2-0.5)*$D$66,NA())</f>
        <v/>
      </c>
      <c r="L148" s="51">
        <f>IF(AND(2&lt;=$D$60,15&lt;=$D$61),(15-0.5)*$D$67,NA())</f>
        <v/>
      </c>
    </row>
    <row r="149">
      <c r="K149" s="51">
        <f>IF(AND(3&lt;=$D$60,1&lt;=$D$61),(3-0.5)*$D$66,NA())</f>
        <v/>
      </c>
      <c r="L149" s="51">
        <f>IF(AND(3&lt;=$D$60,1&lt;=$D$61),(1-0.5)*$D$67,NA())</f>
        <v/>
      </c>
    </row>
    <row r="150">
      <c r="K150" s="51">
        <f>IF(AND(3&lt;=$D$60,2&lt;=$D$61),(3-0.5)*$D$66,NA())</f>
        <v/>
      </c>
      <c r="L150" s="51">
        <f>IF(AND(3&lt;=$D$60,2&lt;=$D$61),(2-0.5)*$D$67,NA())</f>
        <v/>
      </c>
    </row>
    <row r="151">
      <c r="K151" s="51">
        <f>IF(AND(3&lt;=$D$60,3&lt;=$D$61),(3-0.5)*$D$66,NA())</f>
        <v/>
      </c>
      <c r="L151" s="51">
        <f>IF(AND(3&lt;=$D$60,3&lt;=$D$61),(3-0.5)*$D$67,NA())</f>
        <v/>
      </c>
    </row>
    <row r="152">
      <c r="K152" s="51">
        <f>IF(AND(3&lt;=$D$60,4&lt;=$D$61),(3-0.5)*$D$66,NA())</f>
        <v/>
      </c>
      <c r="L152" s="51">
        <f>IF(AND(3&lt;=$D$60,4&lt;=$D$61),(4-0.5)*$D$67,NA())</f>
        <v/>
      </c>
    </row>
    <row r="153">
      <c r="K153" s="51">
        <f>IF(AND(3&lt;=$D$60,5&lt;=$D$61),(3-0.5)*$D$66,NA())</f>
        <v/>
      </c>
      <c r="L153" s="51">
        <f>IF(AND(3&lt;=$D$60,5&lt;=$D$61),(5-0.5)*$D$67,NA())</f>
        <v/>
      </c>
    </row>
    <row r="154">
      <c r="K154" s="51">
        <f>IF(AND(3&lt;=$D$60,6&lt;=$D$61),(3-0.5)*$D$66,NA())</f>
        <v/>
      </c>
      <c r="L154" s="51">
        <f>IF(AND(3&lt;=$D$60,6&lt;=$D$61),(6-0.5)*$D$67,NA())</f>
        <v/>
      </c>
    </row>
    <row r="155">
      <c r="K155" s="51">
        <f>IF(AND(3&lt;=$D$60,7&lt;=$D$61),(3-0.5)*$D$66,NA())</f>
        <v/>
      </c>
      <c r="L155" s="51">
        <f>IF(AND(3&lt;=$D$60,7&lt;=$D$61),(7-0.5)*$D$67,NA())</f>
        <v/>
      </c>
    </row>
    <row r="156">
      <c r="K156" s="51">
        <f>IF(AND(3&lt;=$D$60,8&lt;=$D$61),(3-0.5)*$D$66,NA())</f>
        <v/>
      </c>
      <c r="L156" s="51">
        <f>IF(AND(3&lt;=$D$60,8&lt;=$D$61),(8-0.5)*$D$67,NA())</f>
        <v/>
      </c>
    </row>
    <row r="157">
      <c r="K157" s="51">
        <f>IF(AND(3&lt;=$D$60,9&lt;=$D$61),(3-0.5)*$D$66,NA())</f>
        <v/>
      </c>
      <c r="L157" s="51">
        <f>IF(AND(3&lt;=$D$60,9&lt;=$D$61),(9-0.5)*$D$67,NA())</f>
        <v/>
      </c>
    </row>
    <row r="158">
      <c r="K158" s="51">
        <f>IF(AND(3&lt;=$D$60,10&lt;=$D$61),(3-0.5)*$D$66,NA())</f>
        <v/>
      </c>
      <c r="L158" s="51">
        <f>IF(AND(3&lt;=$D$60,10&lt;=$D$61),(10-0.5)*$D$67,NA())</f>
        <v/>
      </c>
    </row>
    <row r="159">
      <c r="K159" s="51">
        <f>IF(AND(3&lt;=$D$60,11&lt;=$D$61),(3-0.5)*$D$66,NA())</f>
        <v/>
      </c>
      <c r="L159" s="51">
        <f>IF(AND(3&lt;=$D$60,11&lt;=$D$61),(11-0.5)*$D$67,NA())</f>
        <v/>
      </c>
    </row>
    <row r="160">
      <c r="K160" s="51">
        <f>IF(AND(3&lt;=$D$60,12&lt;=$D$61),(3-0.5)*$D$66,NA())</f>
        <v/>
      </c>
      <c r="L160" s="51">
        <f>IF(AND(3&lt;=$D$60,12&lt;=$D$61),(12-0.5)*$D$67,NA())</f>
        <v/>
      </c>
    </row>
    <row r="161">
      <c r="K161" s="51">
        <f>IF(AND(3&lt;=$D$60,13&lt;=$D$61),(3-0.5)*$D$66,NA())</f>
        <v/>
      </c>
      <c r="L161" s="51">
        <f>IF(AND(3&lt;=$D$60,13&lt;=$D$61),(13-0.5)*$D$67,NA())</f>
        <v/>
      </c>
    </row>
    <row r="162">
      <c r="K162" s="51">
        <f>IF(AND(3&lt;=$D$60,14&lt;=$D$61),(3-0.5)*$D$66,NA())</f>
        <v/>
      </c>
      <c r="L162" s="51">
        <f>IF(AND(3&lt;=$D$60,14&lt;=$D$61),(14-0.5)*$D$67,NA())</f>
        <v/>
      </c>
    </row>
    <row r="163">
      <c r="K163" s="51">
        <f>IF(AND(3&lt;=$D$60,15&lt;=$D$61),(3-0.5)*$D$66,NA())</f>
        <v/>
      </c>
      <c r="L163" s="51">
        <f>IF(AND(3&lt;=$D$60,15&lt;=$D$61),(15-0.5)*$D$67,NA())</f>
        <v/>
      </c>
    </row>
    <row r="164">
      <c r="K164" s="51">
        <f>IF(AND(4&lt;=$D$60,1&lt;=$D$61),(4-0.5)*$D$66,NA())</f>
        <v/>
      </c>
      <c r="L164" s="51">
        <f>IF(AND(4&lt;=$D$60,1&lt;=$D$61),(1-0.5)*$D$67,NA())</f>
        <v/>
      </c>
    </row>
    <row r="165">
      <c r="K165" s="51">
        <f>IF(AND(4&lt;=$D$60,2&lt;=$D$61),(4-0.5)*$D$66,NA())</f>
        <v/>
      </c>
      <c r="L165" s="51">
        <f>IF(AND(4&lt;=$D$60,2&lt;=$D$61),(2-0.5)*$D$67,NA())</f>
        <v/>
      </c>
    </row>
    <row r="166">
      <c r="K166" s="51">
        <f>IF(AND(4&lt;=$D$60,3&lt;=$D$61),(4-0.5)*$D$66,NA())</f>
        <v/>
      </c>
      <c r="L166" s="51">
        <f>IF(AND(4&lt;=$D$60,3&lt;=$D$61),(3-0.5)*$D$67,NA())</f>
        <v/>
      </c>
    </row>
    <row r="167">
      <c r="K167" s="51">
        <f>IF(AND(4&lt;=$D$60,4&lt;=$D$61),(4-0.5)*$D$66,NA())</f>
        <v/>
      </c>
      <c r="L167" s="51">
        <f>IF(AND(4&lt;=$D$60,4&lt;=$D$61),(4-0.5)*$D$67,NA())</f>
        <v/>
      </c>
    </row>
    <row r="168">
      <c r="K168" s="51">
        <f>IF(AND(4&lt;=$D$60,5&lt;=$D$61),(4-0.5)*$D$66,NA())</f>
        <v/>
      </c>
      <c r="L168" s="51">
        <f>IF(AND(4&lt;=$D$60,5&lt;=$D$61),(5-0.5)*$D$67,NA())</f>
        <v/>
      </c>
    </row>
    <row r="169">
      <c r="K169" s="51">
        <f>IF(AND(4&lt;=$D$60,6&lt;=$D$61),(4-0.5)*$D$66,NA())</f>
        <v/>
      </c>
      <c r="L169" s="51">
        <f>IF(AND(4&lt;=$D$60,6&lt;=$D$61),(6-0.5)*$D$67,NA())</f>
        <v/>
      </c>
    </row>
    <row r="170">
      <c r="K170" s="51">
        <f>IF(AND(4&lt;=$D$60,7&lt;=$D$61),(4-0.5)*$D$66,NA())</f>
        <v/>
      </c>
      <c r="L170" s="51">
        <f>IF(AND(4&lt;=$D$60,7&lt;=$D$61),(7-0.5)*$D$67,NA())</f>
        <v/>
      </c>
    </row>
    <row r="171">
      <c r="K171" s="51">
        <f>IF(AND(4&lt;=$D$60,8&lt;=$D$61),(4-0.5)*$D$66,NA())</f>
        <v/>
      </c>
      <c r="L171" s="51">
        <f>IF(AND(4&lt;=$D$60,8&lt;=$D$61),(8-0.5)*$D$67,NA())</f>
        <v/>
      </c>
    </row>
    <row r="172">
      <c r="K172" s="51">
        <f>IF(AND(4&lt;=$D$60,9&lt;=$D$61),(4-0.5)*$D$66,NA())</f>
        <v/>
      </c>
      <c r="L172" s="51">
        <f>IF(AND(4&lt;=$D$60,9&lt;=$D$61),(9-0.5)*$D$67,NA())</f>
        <v/>
      </c>
    </row>
    <row r="173">
      <c r="K173" s="51">
        <f>IF(AND(4&lt;=$D$60,10&lt;=$D$61),(4-0.5)*$D$66,NA())</f>
        <v/>
      </c>
      <c r="L173" s="51">
        <f>IF(AND(4&lt;=$D$60,10&lt;=$D$61),(10-0.5)*$D$67,NA())</f>
        <v/>
      </c>
    </row>
    <row r="174">
      <c r="K174" s="51">
        <f>IF(AND(4&lt;=$D$60,11&lt;=$D$61),(4-0.5)*$D$66,NA())</f>
        <v/>
      </c>
      <c r="L174" s="51">
        <f>IF(AND(4&lt;=$D$60,11&lt;=$D$61),(11-0.5)*$D$67,NA())</f>
        <v/>
      </c>
    </row>
    <row r="175">
      <c r="K175" s="51">
        <f>IF(AND(4&lt;=$D$60,12&lt;=$D$61),(4-0.5)*$D$66,NA())</f>
        <v/>
      </c>
      <c r="L175" s="51">
        <f>IF(AND(4&lt;=$D$60,12&lt;=$D$61),(12-0.5)*$D$67,NA())</f>
        <v/>
      </c>
    </row>
    <row r="176">
      <c r="K176" s="51">
        <f>IF(AND(4&lt;=$D$60,13&lt;=$D$61),(4-0.5)*$D$66,NA())</f>
        <v/>
      </c>
      <c r="L176" s="51">
        <f>IF(AND(4&lt;=$D$60,13&lt;=$D$61),(13-0.5)*$D$67,NA())</f>
        <v/>
      </c>
    </row>
    <row r="177">
      <c r="K177" s="51">
        <f>IF(AND(4&lt;=$D$60,14&lt;=$D$61),(4-0.5)*$D$66,NA())</f>
        <v/>
      </c>
      <c r="L177" s="51">
        <f>IF(AND(4&lt;=$D$60,14&lt;=$D$61),(14-0.5)*$D$67,NA())</f>
        <v/>
      </c>
    </row>
    <row r="178">
      <c r="K178" s="51">
        <f>IF(AND(4&lt;=$D$60,15&lt;=$D$61),(4-0.5)*$D$66,NA())</f>
        <v/>
      </c>
      <c r="L178" s="51">
        <f>IF(AND(4&lt;=$D$60,15&lt;=$D$61),(15-0.5)*$D$67,NA())</f>
        <v/>
      </c>
    </row>
    <row r="179">
      <c r="K179" s="51">
        <f>IF(AND(5&lt;=$D$60,1&lt;=$D$61),(5-0.5)*$D$66,NA())</f>
        <v/>
      </c>
      <c r="L179" s="51">
        <f>IF(AND(5&lt;=$D$60,1&lt;=$D$61),(1-0.5)*$D$67,NA())</f>
        <v/>
      </c>
    </row>
    <row r="180">
      <c r="K180" s="51">
        <f>IF(AND(5&lt;=$D$60,2&lt;=$D$61),(5-0.5)*$D$66,NA())</f>
        <v/>
      </c>
      <c r="L180" s="51">
        <f>IF(AND(5&lt;=$D$60,2&lt;=$D$61),(2-0.5)*$D$67,NA())</f>
        <v/>
      </c>
    </row>
    <row r="181">
      <c r="K181" s="51">
        <f>IF(AND(5&lt;=$D$60,3&lt;=$D$61),(5-0.5)*$D$66,NA())</f>
        <v/>
      </c>
      <c r="L181" s="51">
        <f>IF(AND(5&lt;=$D$60,3&lt;=$D$61),(3-0.5)*$D$67,NA())</f>
        <v/>
      </c>
    </row>
    <row r="182">
      <c r="K182" s="51">
        <f>IF(AND(5&lt;=$D$60,4&lt;=$D$61),(5-0.5)*$D$66,NA())</f>
        <v/>
      </c>
      <c r="L182" s="51">
        <f>IF(AND(5&lt;=$D$60,4&lt;=$D$61),(4-0.5)*$D$67,NA())</f>
        <v/>
      </c>
    </row>
    <row r="183">
      <c r="K183" s="51">
        <f>IF(AND(5&lt;=$D$60,5&lt;=$D$61),(5-0.5)*$D$66,NA())</f>
        <v/>
      </c>
      <c r="L183" s="51">
        <f>IF(AND(5&lt;=$D$60,5&lt;=$D$61),(5-0.5)*$D$67,NA())</f>
        <v/>
      </c>
    </row>
    <row r="184">
      <c r="K184" s="51">
        <f>IF(AND(5&lt;=$D$60,6&lt;=$D$61),(5-0.5)*$D$66,NA())</f>
        <v/>
      </c>
      <c r="L184" s="51">
        <f>IF(AND(5&lt;=$D$60,6&lt;=$D$61),(6-0.5)*$D$67,NA())</f>
        <v/>
      </c>
    </row>
    <row r="185">
      <c r="K185" s="51">
        <f>IF(AND(5&lt;=$D$60,7&lt;=$D$61),(5-0.5)*$D$66,NA())</f>
        <v/>
      </c>
      <c r="L185" s="51">
        <f>IF(AND(5&lt;=$D$60,7&lt;=$D$61),(7-0.5)*$D$67,NA())</f>
        <v/>
      </c>
    </row>
    <row r="186">
      <c r="K186" s="51">
        <f>IF(AND(5&lt;=$D$60,8&lt;=$D$61),(5-0.5)*$D$66,NA())</f>
        <v/>
      </c>
      <c r="L186" s="51">
        <f>IF(AND(5&lt;=$D$60,8&lt;=$D$61),(8-0.5)*$D$67,NA())</f>
        <v/>
      </c>
    </row>
    <row r="187">
      <c r="K187" s="51">
        <f>IF(AND(5&lt;=$D$60,9&lt;=$D$61),(5-0.5)*$D$66,NA())</f>
        <v/>
      </c>
      <c r="L187" s="51">
        <f>IF(AND(5&lt;=$D$60,9&lt;=$D$61),(9-0.5)*$D$67,NA())</f>
        <v/>
      </c>
    </row>
    <row r="188">
      <c r="K188" s="51">
        <f>IF(AND(5&lt;=$D$60,10&lt;=$D$61),(5-0.5)*$D$66,NA())</f>
        <v/>
      </c>
      <c r="L188" s="51">
        <f>IF(AND(5&lt;=$D$60,10&lt;=$D$61),(10-0.5)*$D$67,NA())</f>
        <v/>
      </c>
    </row>
    <row r="189">
      <c r="K189" s="51">
        <f>IF(AND(5&lt;=$D$60,11&lt;=$D$61),(5-0.5)*$D$66,NA())</f>
        <v/>
      </c>
      <c r="L189" s="51">
        <f>IF(AND(5&lt;=$D$60,11&lt;=$D$61),(11-0.5)*$D$67,NA())</f>
        <v/>
      </c>
    </row>
    <row r="190">
      <c r="K190" s="51">
        <f>IF(AND(5&lt;=$D$60,12&lt;=$D$61),(5-0.5)*$D$66,NA())</f>
        <v/>
      </c>
      <c r="L190" s="51">
        <f>IF(AND(5&lt;=$D$60,12&lt;=$D$61),(12-0.5)*$D$67,NA())</f>
        <v/>
      </c>
    </row>
    <row r="191">
      <c r="K191" s="51">
        <f>IF(AND(5&lt;=$D$60,13&lt;=$D$61),(5-0.5)*$D$66,NA())</f>
        <v/>
      </c>
      <c r="L191" s="51">
        <f>IF(AND(5&lt;=$D$60,13&lt;=$D$61),(13-0.5)*$D$67,NA())</f>
        <v/>
      </c>
    </row>
    <row r="192">
      <c r="K192" s="51">
        <f>IF(AND(5&lt;=$D$60,14&lt;=$D$61),(5-0.5)*$D$66,NA())</f>
        <v/>
      </c>
      <c r="L192" s="51">
        <f>IF(AND(5&lt;=$D$60,14&lt;=$D$61),(14-0.5)*$D$67,NA())</f>
        <v/>
      </c>
    </row>
    <row r="193">
      <c r="K193" s="51">
        <f>IF(AND(5&lt;=$D$60,15&lt;=$D$61),(5-0.5)*$D$66,NA())</f>
        <v/>
      </c>
      <c r="L193" s="51">
        <f>IF(AND(5&lt;=$D$60,15&lt;=$D$61),(15-0.5)*$D$67,NA())</f>
        <v/>
      </c>
    </row>
    <row r="194">
      <c r="K194" s="51">
        <f>IF(AND(6&lt;=$D$60,1&lt;=$D$61),(6-0.5)*$D$66,NA())</f>
        <v/>
      </c>
      <c r="L194" s="51">
        <f>IF(AND(6&lt;=$D$60,1&lt;=$D$61),(1-0.5)*$D$67,NA())</f>
        <v/>
      </c>
    </row>
    <row r="195">
      <c r="K195" s="51">
        <f>IF(AND(6&lt;=$D$60,2&lt;=$D$61),(6-0.5)*$D$66,NA())</f>
        <v/>
      </c>
      <c r="L195" s="51">
        <f>IF(AND(6&lt;=$D$60,2&lt;=$D$61),(2-0.5)*$D$67,NA())</f>
        <v/>
      </c>
    </row>
    <row r="196">
      <c r="K196" s="51">
        <f>IF(AND(6&lt;=$D$60,3&lt;=$D$61),(6-0.5)*$D$66,NA())</f>
        <v/>
      </c>
      <c r="L196" s="51">
        <f>IF(AND(6&lt;=$D$60,3&lt;=$D$61),(3-0.5)*$D$67,NA())</f>
        <v/>
      </c>
    </row>
    <row r="197">
      <c r="K197" s="51">
        <f>IF(AND(6&lt;=$D$60,4&lt;=$D$61),(6-0.5)*$D$66,NA())</f>
        <v/>
      </c>
      <c r="L197" s="51">
        <f>IF(AND(6&lt;=$D$60,4&lt;=$D$61),(4-0.5)*$D$67,NA())</f>
        <v/>
      </c>
    </row>
    <row r="198">
      <c r="K198" s="51">
        <f>IF(AND(6&lt;=$D$60,5&lt;=$D$61),(6-0.5)*$D$66,NA())</f>
        <v/>
      </c>
      <c r="L198" s="51">
        <f>IF(AND(6&lt;=$D$60,5&lt;=$D$61),(5-0.5)*$D$67,NA())</f>
        <v/>
      </c>
    </row>
    <row r="199">
      <c r="K199" s="51">
        <f>IF(AND(6&lt;=$D$60,6&lt;=$D$61),(6-0.5)*$D$66,NA())</f>
        <v/>
      </c>
      <c r="L199" s="51">
        <f>IF(AND(6&lt;=$D$60,6&lt;=$D$61),(6-0.5)*$D$67,NA())</f>
        <v/>
      </c>
    </row>
    <row r="200">
      <c r="K200" s="51">
        <f>IF(AND(6&lt;=$D$60,7&lt;=$D$61),(6-0.5)*$D$66,NA())</f>
        <v/>
      </c>
      <c r="L200" s="51">
        <f>IF(AND(6&lt;=$D$60,7&lt;=$D$61),(7-0.5)*$D$67,NA())</f>
        <v/>
      </c>
    </row>
    <row r="201">
      <c r="K201" s="51">
        <f>IF(AND(6&lt;=$D$60,8&lt;=$D$61),(6-0.5)*$D$66,NA())</f>
        <v/>
      </c>
      <c r="L201" s="51">
        <f>IF(AND(6&lt;=$D$60,8&lt;=$D$61),(8-0.5)*$D$67,NA())</f>
        <v/>
      </c>
    </row>
    <row r="202">
      <c r="K202" s="51">
        <f>IF(AND(6&lt;=$D$60,9&lt;=$D$61),(6-0.5)*$D$66,NA())</f>
        <v/>
      </c>
      <c r="L202" s="51">
        <f>IF(AND(6&lt;=$D$60,9&lt;=$D$61),(9-0.5)*$D$67,NA())</f>
        <v/>
      </c>
    </row>
    <row r="203">
      <c r="K203" s="51">
        <f>IF(AND(6&lt;=$D$60,10&lt;=$D$61),(6-0.5)*$D$66,NA())</f>
        <v/>
      </c>
      <c r="L203" s="51">
        <f>IF(AND(6&lt;=$D$60,10&lt;=$D$61),(10-0.5)*$D$67,NA())</f>
        <v/>
      </c>
    </row>
    <row r="204">
      <c r="K204" s="51">
        <f>IF(AND(6&lt;=$D$60,11&lt;=$D$61),(6-0.5)*$D$66,NA())</f>
        <v/>
      </c>
      <c r="L204" s="51">
        <f>IF(AND(6&lt;=$D$60,11&lt;=$D$61),(11-0.5)*$D$67,NA())</f>
        <v/>
      </c>
    </row>
    <row r="205">
      <c r="K205" s="51">
        <f>IF(AND(6&lt;=$D$60,12&lt;=$D$61),(6-0.5)*$D$66,NA())</f>
        <v/>
      </c>
      <c r="L205" s="51">
        <f>IF(AND(6&lt;=$D$60,12&lt;=$D$61),(12-0.5)*$D$67,NA())</f>
        <v/>
      </c>
    </row>
    <row r="206">
      <c r="K206" s="51">
        <f>IF(AND(6&lt;=$D$60,13&lt;=$D$61),(6-0.5)*$D$66,NA())</f>
        <v/>
      </c>
      <c r="L206" s="51">
        <f>IF(AND(6&lt;=$D$60,13&lt;=$D$61),(13-0.5)*$D$67,NA())</f>
        <v/>
      </c>
    </row>
    <row r="207">
      <c r="K207" s="51">
        <f>IF(AND(6&lt;=$D$60,14&lt;=$D$61),(6-0.5)*$D$66,NA())</f>
        <v/>
      </c>
      <c r="L207" s="51">
        <f>IF(AND(6&lt;=$D$60,14&lt;=$D$61),(14-0.5)*$D$67,NA())</f>
        <v/>
      </c>
    </row>
    <row r="208">
      <c r="K208" s="51">
        <f>IF(AND(6&lt;=$D$60,15&lt;=$D$61),(6-0.5)*$D$66,NA())</f>
        <v/>
      </c>
      <c r="L208" s="51">
        <f>IF(AND(6&lt;=$D$60,15&lt;=$D$61),(15-0.5)*$D$67,NA())</f>
        <v/>
      </c>
    </row>
    <row r="209">
      <c r="K209" s="51">
        <f>IF(AND(7&lt;=$D$60,1&lt;=$D$61),(7-0.5)*$D$66,NA())</f>
        <v/>
      </c>
      <c r="L209" s="51">
        <f>IF(AND(7&lt;=$D$60,1&lt;=$D$61),(1-0.5)*$D$67,NA())</f>
        <v/>
      </c>
    </row>
    <row r="210">
      <c r="K210" s="51">
        <f>IF(AND(7&lt;=$D$60,2&lt;=$D$61),(7-0.5)*$D$66,NA())</f>
        <v/>
      </c>
      <c r="L210" s="51">
        <f>IF(AND(7&lt;=$D$60,2&lt;=$D$61),(2-0.5)*$D$67,NA())</f>
        <v/>
      </c>
    </row>
    <row r="211">
      <c r="K211" s="51">
        <f>IF(AND(7&lt;=$D$60,3&lt;=$D$61),(7-0.5)*$D$66,NA())</f>
        <v/>
      </c>
      <c r="L211" s="51">
        <f>IF(AND(7&lt;=$D$60,3&lt;=$D$61),(3-0.5)*$D$67,NA())</f>
        <v/>
      </c>
    </row>
    <row r="212">
      <c r="K212" s="51">
        <f>IF(AND(7&lt;=$D$60,4&lt;=$D$61),(7-0.5)*$D$66,NA())</f>
        <v/>
      </c>
      <c r="L212" s="51">
        <f>IF(AND(7&lt;=$D$60,4&lt;=$D$61),(4-0.5)*$D$67,NA())</f>
        <v/>
      </c>
    </row>
    <row r="213">
      <c r="K213" s="51">
        <f>IF(AND(7&lt;=$D$60,5&lt;=$D$61),(7-0.5)*$D$66,NA())</f>
        <v/>
      </c>
      <c r="L213" s="51">
        <f>IF(AND(7&lt;=$D$60,5&lt;=$D$61),(5-0.5)*$D$67,NA())</f>
        <v/>
      </c>
    </row>
    <row r="214">
      <c r="K214" s="51">
        <f>IF(AND(7&lt;=$D$60,6&lt;=$D$61),(7-0.5)*$D$66,NA())</f>
        <v/>
      </c>
      <c r="L214" s="51">
        <f>IF(AND(7&lt;=$D$60,6&lt;=$D$61),(6-0.5)*$D$67,NA())</f>
        <v/>
      </c>
    </row>
    <row r="215">
      <c r="K215" s="51">
        <f>IF(AND(7&lt;=$D$60,7&lt;=$D$61),(7-0.5)*$D$66,NA())</f>
        <v/>
      </c>
      <c r="L215" s="51">
        <f>IF(AND(7&lt;=$D$60,7&lt;=$D$61),(7-0.5)*$D$67,NA())</f>
        <v/>
      </c>
    </row>
    <row r="216">
      <c r="K216" s="51">
        <f>IF(AND(7&lt;=$D$60,8&lt;=$D$61),(7-0.5)*$D$66,NA())</f>
        <v/>
      </c>
      <c r="L216" s="51">
        <f>IF(AND(7&lt;=$D$60,8&lt;=$D$61),(8-0.5)*$D$67,NA())</f>
        <v/>
      </c>
    </row>
    <row r="217">
      <c r="K217" s="51">
        <f>IF(AND(7&lt;=$D$60,9&lt;=$D$61),(7-0.5)*$D$66,NA())</f>
        <v/>
      </c>
      <c r="L217" s="51">
        <f>IF(AND(7&lt;=$D$60,9&lt;=$D$61),(9-0.5)*$D$67,NA())</f>
        <v/>
      </c>
    </row>
    <row r="218">
      <c r="K218" s="51">
        <f>IF(AND(7&lt;=$D$60,10&lt;=$D$61),(7-0.5)*$D$66,NA())</f>
        <v/>
      </c>
      <c r="L218" s="51">
        <f>IF(AND(7&lt;=$D$60,10&lt;=$D$61),(10-0.5)*$D$67,NA())</f>
        <v/>
      </c>
    </row>
    <row r="219">
      <c r="K219" s="51">
        <f>IF(AND(7&lt;=$D$60,11&lt;=$D$61),(7-0.5)*$D$66,NA())</f>
        <v/>
      </c>
      <c r="L219" s="51">
        <f>IF(AND(7&lt;=$D$60,11&lt;=$D$61),(11-0.5)*$D$67,NA())</f>
        <v/>
      </c>
    </row>
    <row r="220">
      <c r="K220" s="51">
        <f>IF(AND(7&lt;=$D$60,12&lt;=$D$61),(7-0.5)*$D$66,NA())</f>
        <v/>
      </c>
      <c r="L220" s="51">
        <f>IF(AND(7&lt;=$D$60,12&lt;=$D$61),(12-0.5)*$D$67,NA())</f>
        <v/>
      </c>
    </row>
    <row r="221">
      <c r="K221" s="51">
        <f>IF(AND(7&lt;=$D$60,13&lt;=$D$61),(7-0.5)*$D$66,NA())</f>
        <v/>
      </c>
      <c r="L221" s="51">
        <f>IF(AND(7&lt;=$D$60,13&lt;=$D$61),(13-0.5)*$D$67,NA())</f>
        <v/>
      </c>
    </row>
    <row r="222">
      <c r="K222" s="51">
        <f>IF(AND(7&lt;=$D$60,14&lt;=$D$61),(7-0.5)*$D$66,NA())</f>
        <v/>
      </c>
      <c r="L222" s="51">
        <f>IF(AND(7&lt;=$D$60,14&lt;=$D$61),(14-0.5)*$D$67,NA())</f>
        <v/>
      </c>
    </row>
    <row r="223">
      <c r="K223" s="51">
        <f>IF(AND(7&lt;=$D$60,15&lt;=$D$61),(7-0.5)*$D$66,NA())</f>
        <v/>
      </c>
      <c r="L223" s="51">
        <f>IF(AND(7&lt;=$D$60,15&lt;=$D$61),(15-0.5)*$D$67,NA())</f>
        <v/>
      </c>
    </row>
    <row r="224">
      <c r="K224" s="51">
        <f>IF(AND(8&lt;=$D$60,1&lt;=$D$61),(8-0.5)*$D$66,NA())</f>
        <v/>
      </c>
      <c r="L224" s="51">
        <f>IF(AND(8&lt;=$D$60,1&lt;=$D$61),(1-0.5)*$D$67,NA())</f>
        <v/>
      </c>
    </row>
    <row r="225">
      <c r="K225" s="51">
        <f>IF(AND(8&lt;=$D$60,2&lt;=$D$61),(8-0.5)*$D$66,NA())</f>
        <v/>
      </c>
      <c r="L225" s="51">
        <f>IF(AND(8&lt;=$D$60,2&lt;=$D$61),(2-0.5)*$D$67,NA())</f>
        <v/>
      </c>
    </row>
    <row r="226">
      <c r="K226" s="51">
        <f>IF(AND(8&lt;=$D$60,3&lt;=$D$61),(8-0.5)*$D$66,NA())</f>
        <v/>
      </c>
      <c r="L226" s="51">
        <f>IF(AND(8&lt;=$D$60,3&lt;=$D$61),(3-0.5)*$D$67,NA())</f>
        <v/>
      </c>
    </row>
    <row r="227">
      <c r="K227" s="51">
        <f>IF(AND(8&lt;=$D$60,4&lt;=$D$61),(8-0.5)*$D$66,NA())</f>
        <v/>
      </c>
      <c r="L227" s="51">
        <f>IF(AND(8&lt;=$D$60,4&lt;=$D$61),(4-0.5)*$D$67,NA())</f>
        <v/>
      </c>
    </row>
    <row r="228">
      <c r="K228" s="51">
        <f>IF(AND(8&lt;=$D$60,5&lt;=$D$61),(8-0.5)*$D$66,NA())</f>
        <v/>
      </c>
      <c r="L228" s="51">
        <f>IF(AND(8&lt;=$D$60,5&lt;=$D$61),(5-0.5)*$D$67,NA())</f>
        <v/>
      </c>
    </row>
    <row r="229">
      <c r="K229" s="51">
        <f>IF(AND(8&lt;=$D$60,6&lt;=$D$61),(8-0.5)*$D$66,NA())</f>
        <v/>
      </c>
      <c r="L229" s="51">
        <f>IF(AND(8&lt;=$D$60,6&lt;=$D$61),(6-0.5)*$D$67,NA())</f>
        <v/>
      </c>
    </row>
    <row r="230">
      <c r="K230" s="51">
        <f>IF(AND(8&lt;=$D$60,7&lt;=$D$61),(8-0.5)*$D$66,NA())</f>
        <v/>
      </c>
      <c r="L230" s="51">
        <f>IF(AND(8&lt;=$D$60,7&lt;=$D$61),(7-0.5)*$D$67,NA())</f>
        <v/>
      </c>
    </row>
    <row r="231">
      <c r="K231" s="51">
        <f>IF(AND(8&lt;=$D$60,8&lt;=$D$61),(8-0.5)*$D$66,NA())</f>
        <v/>
      </c>
      <c r="L231" s="51">
        <f>IF(AND(8&lt;=$D$60,8&lt;=$D$61),(8-0.5)*$D$67,NA())</f>
        <v/>
      </c>
    </row>
    <row r="232">
      <c r="K232" s="51">
        <f>IF(AND(8&lt;=$D$60,9&lt;=$D$61),(8-0.5)*$D$66,NA())</f>
        <v/>
      </c>
      <c r="L232" s="51">
        <f>IF(AND(8&lt;=$D$60,9&lt;=$D$61),(9-0.5)*$D$67,NA())</f>
        <v/>
      </c>
    </row>
    <row r="233">
      <c r="K233" s="51">
        <f>IF(AND(8&lt;=$D$60,10&lt;=$D$61),(8-0.5)*$D$66,NA())</f>
        <v/>
      </c>
      <c r="L233" s="51">
        <f>IF(AND(8&lt;=$D$60,10&lt;=$D$61),(10-0.5)*$D$67,NA())</f>
        <v/>
      </c>
    </row>
    <row r="234">
      <c r="K234" s="51">
        <f>IF(AND(8&lt;=$D$60,11&lt;=$D$61),(8-0.5)*$D$66,NA())</f>
        <v/>
      </c>
      <c r="L234" s="51">
        <f>IF(AND(8&lt;=$D$60,11&lt;=$D$61),(11-0.5)*$D$67,NA())</f>
        <v/>
      </c>
    </row>
    <row r="235">
      <c r="K235" s="51">
        <f>IF(AND(8&lt;=$D$60,12&lt;=$D$61),(8-0.5)*$D$66,NA())</f>
        <v/>
      </c>
      <c r="L235" s="51">
        <f>IF(AND(8&lt;=$D$60,12&lt;=$D$61),(12-0.5)*$D$67,NA())</f>
        <v/>
      </c>
    </row>
    <row r="236">
      <c r="K236" s="51">
        <f>IF(AND(8&lt;=$D$60,13&lt;=$D$61),(8-0.5)*$D$66,NA())</f>
        <v/>
      </c>
      <c r="L236" s="51">
        <f>IF(AND(8&lt;=$D$60,13&lt;=$D$61),(13-0.5)*$D$67,NA())</f>
        <v/>
      </c>
    </row>
    <row r="237">
      <c r="K237" s="51">
        <f>IF(AND(8&lt;=$D$60,14&lt;=$D$61),(8-0.5)*$D$66,NA())</f>
        <v/>
      </c>
      <c r="L237" s="51">
        <f>IF(AND(8&lt;=$D$60,14&lt;=$D$61),(14-0.5)*$D$67,NA())</f>
        <v/>
      </c>
    </row>
    <row r="238">
      <c r="K238" s="51">
        <f>IF(AND(8&lt;=$D$60,15&lt;=$D$61),(8-0.5)*$D$66,NA())</f>
        <v/>
      </c>
      <c r="L238" s="51">
        <f>IF(AND(8&lt;=$D$60,15&lt;=$D$61),(15-0.5)*$D$67,NA())</f>
        <v/>
      </c>
    </row>
    <row r="239">
      <c r="K239" s="51">
        <f>IF(AND(9&lt;=$D$60,1&lt;=$D$61),(9-0.5)*$D$66,NA())</f>
        <v/>
      </c>
      <c r="L239" s="51">
        <f>IF(AND(9&lt;=$D$60,1&lt;=$D$61),(1-0.5)*$D$67,NA())</f>
        <v/>
      </c>
    </row>
    <row r="240">
      <c r="K240" s="51">
        <f>IF(AND(9&lt;=$D$60,2&lt;=$D$61),(9-0.5)*$D$66,NA())</f>
        <v/>
      </c>
      <c r="L240" s="51">
        <f>IF(AND(9&lt;=$D$60,2&lt;=$D$61),(2-0.5)*$D$67,NA())</f>
        <v/>
      </c>
    </row>
    <row r="241">
      <c r="K241" s="51">
        <f>IF(AND(9&lt;=$D$60,3&lt;=$D$61),(9-0.5)*$D$66,NA())</f>
        <v/>
      </c>
      <c r="L241" s="51">
        <f>IF(AND(9&lt;=$D$60,3&lt;=$D$61),(3-0.5)*$D$67,NA())</f>
        <v/>
      </c>
    </row>
    <row r="242">
      <c r="K242" s="51">
        <f>IF(AND(9&lt;=$D$60,4&lt;=$D$61),(9-0.5)*$D$66,NA())</f>
        <v/>
      </c>
      <c r="L242" s="51">
        <f>IF(AND(9&lt;=$D$60,4&lt;=$D$61),(4-0.5)*$D$67,NA())</f>
        <v/>
      </c>
    </row>
    <row r="243">
      <c r="K243" s="51">
        <f>IF(AND(9&lt;=$D$60,5&lt;=$D$61),(9-0.5)*$D$66,NA())</f>
        <v/>
      </c>
      <c r="L243" s="51">
        <f>IF(AND(9&lt;=$D$60,5&lt;=$D$61),(5-0.5)*$D$67,NA())</f>
        <v/>
      </c>
    </row>
    <row r="244">
      <c r="K244" s="51">
        <f>IF(AND(9&lt;=$D$60,6&lt;=$D$61),(9-0.5)*$D$66,NA())</f>
        <v/>
      </c>
      <c r="L244" s="51">
        <f>IF(AND(9&lt;=$D$60,6&lt;=$D$61),(6-0.5)*$D$67,NA())</f>
        <v/>
      </c>
    </row>
    <row r="245">
      <c r="K245" s="51">
        <f>IF(AND(9&lt;=$D$60,7&lt;=$D$61),(9-0.5)*$D$66,NA())</f>
        <v/>
      </c>
      <c r="L245" s="51">
        <f>IF(AND(9&lt;=$D$60,7&lt;=$D$61),(7-0.5)*$D$67,NA())</f>
        <v/>
      </c>
    </row>
    <row r="246">
      <c r="K246" s="51">
        <f>IF(AND(9&lt;=$D$60,8&lt;=$D$61),(9-0.5)*$D$66,NA())</f>
        <v/>
      </c>
      <c r="L246" s="51">
        <f>IF(AND(9&lt;=$D$60,8&lt;=$D$61),(8-0.5)*$D$67,NA())</f>
        <v/>
      </c>
    </row>
    <row r="247">
      <c r="K247" s="51">
        <f>IF(AND(9&lt;=$D$60,9&lt;=$D$61),(9-0.5)*$D$66,NA())</f>
        <v/>
      </c>
      <c r="L247" s="51">
        <f>IF(AND(9&lt;=$D$60,9&lt;=$D$61),(9-0.5)*$D$67,NA())</f>
        <v/>
      </c>
    </row>
    <row r="248">
      <c r="K248" s="51">
        <f>IF(AND(9&lt;=$D$60,10&lt;=$D$61),(9-0.5)*$D$66,NA())</f>
        <v/>
      </c>
      <c r="L248" s="51">
        <f>IF(AND(9&lt;=$D$60,10&lt;=$D$61),(10-0.5)*$D$67,NA())</f>
        <v/>
      </c>
    </row>
    <row r="249">
      <c r="K249" s="51">
        <f>IF(AND(9&lt;=$D$60,11&lt;=$D$61),(9-0.5)*$D$66,NA())</f>
        <v/>
      </c>
      <c r="L249" s="51">
        <f>IF(AND(9&lt;=$D$60,11&lt;=$D$61),(11-0.5)*$D$67,NA())</f>
        <v/>
      </c>
    </row>
    <row r="250">
      <c r="K250" s="51">
        <f>IF(AND(9&lt;=$D$60,12&lt;=$D$61),(9-0.5)*$D$66,NA())</f>
        <v/>
      </c>
      <c r="L250" s="51">
        <f>IF(AND(9&lt;=$D$60,12&lt;=$D$61),(12-0.5)*$D$67,NA())</f>
        <v/>
      </c>
    </row>
    <row r="251">
      <c r="K251" s="51">
        <f>IF(AND(9&lt;=$D$60,13&lt;=$D$61),(9-0.5)*$D$66,NA())</f>
        <v/>
      </c>
      <c r="L251" s="51">
        <f>IF(AND(9&lt;=$D$60,13&lt;=$D$61),(13-0.5)*$D$67,NA())</f>
        <v/>
      </c>
    </row>
    <row r="252">
      <c r="K252" s="51">
        <f>IF(AND(9&lt;=$D$60,14&lt;=$D$61),(9-0.5)*$D$66,NA())</f>
        <v/>
      </c>
      <c r="L252" s="51">
        <f>IF(AND(9&lt;=$D$60,14&lt;=$D$61),(14-0.5)*$D$67,NA())</f>
        <v/>
      </c>
    </row>
    <row r="253">
      <c r="K253" s="51">
        <f>IF(AND(9&lt;=$D$60,15&lt;=$D$61),(9-0.5)*$D$66,NA())</f>
        <v/>
      </c>
      <c r="L253" s="51">
        <f>IF(AND(9&lt;=$D$60,15&lt;=$D$61),(15-0.5)*$D$67,NA())</f>
        <v/>
      </c>
    </row>
    <row r="254">
      <c r="K254" s="51">
        <f>IF(AND(10&lt;=$D$60,1&lt;=$D$61),(10-0.5)*$D$66,NA())</f>
        <v/>
      </c>
      <c r="L254" s="51">
        <f>IF(AND(10&lt;=$D$60,1&lt;=$D$61),(1-0.5)*$D$67,NA())</f>
        <v/>
      </c>
    </row>
    <row r="255">
      <c r="K255" s="51">
        <f>IF(AND(10&lt;=$D$60,2&lt;=$D$61),(10-0.5)*$D$66,NA())</f>
        <v/>
      </c>
      <c r="L255" s="51">
        <f>IF(AND(10&lt;=$D$60,2&lt;=$D$61),(2-0.5)*$D$67,NA())</f>
        <v/>
      </c>
    </row>
    <row r="256">
      <c r="K256" s="51">
        <f>IF(AND(10&lt;=$D$60,3&lt;=$D$61),(10-0.5)*$D$66,NA())</f>
        <v/>
      </c>
      <c r="L256" s="51">
        <f>IF(AND(10&lt;=$D$60,3&lt;=$D$61),(3-0.5)*$D$67,NA())</f>
        <v/>
      </c>
    </row>
    <row r="257">
      <c r="K257" s="51">
        <f>IF(AND(10&lt;=$D$60,4&lt;=$D$61),(10-0.5)*$D$66,NA())</f>
        <v/>
      </c>
      <c r="L257" s="51">
        <f>IF(AND(10&lt;=$D$60,4&lt;=$D$61),(4-0.5)*$D$67,NA())</f>
        <v/>
      </c>
    </row>
    <row r="258">
      <c r="K258" s="51">
        <f>IF(AND(10&lt;=$D$60,5&lt;=$D$61),(10-0.5)*$D$66,NA())</f>
        <v/>
      </c>
      <c r="L258" s="51">
        <f>IF(AND(10&lt;=$D$60,5&lt;=$D$61),(5-0.5)*$D$67,NA())</f>
        <v/>
      </c>
    </row>
    <row r="259">
      <c r="K259" s="51">
        <f>IF(AND(10&lt;=$D$60,6&lt;=$D$61),(10-0.5)*$D$66,NA())</f>
        <v/>
      </c>
      <c r="L259" s="51">
        <f>IF(AND(10&lt;=$D$60,6&lt;=$D$61),(6-0.5)*$D$67,NA())</f>
        <v/>
      </c>
    </row>
    <row r="260">
      <c r="K260" s="51">
        <f>IF(AND(10&lt;=$D$60,7&lt;=$D$61),(10-0.5)*$D$66,NA())</f>
        <v/>
      </c>
      <c r="L260" s="51">
        <f>IF(AND(10&lt;=$D$60,7&lt;=$D$61),(7-0.5)*$D$67,NA())</f>
        <v/>
      </c>
    </row>
    <row r="261">
      <c r="K261" s="51">
        <f>IF(AND(10&lt;=$D$60,8&lt;=$D$61),(10-0.5)*$D$66,NA())</f>
        <v/>
      </c>
      <c r="L261" s="51">
        <f>IF(AND(10&lt;=$D$60,8&lt;=$D$61),(8-0.5)*$D$67,NA())</f>
        <v/>
      </c>
    </row>
    <row r="262">
      <c r="K262" s="51">
        <f>IF(AND(10&lt;=$D$60,9&lt;=$D$61),(10-0.5)*$D$66,NA())</f>
        <v/>
      </c>
      <c r="L262" s="51">
        <f>IF(AND(10&lt;=$D$60,9&lt;=$D$61),(9-0.5)*$D$67,NA())</f>
        <v/>
      </c>
    </row>
    <row r="263">
      <c r="K263" s="51">
        <f>IF(AND(10&lt;=$D$60,10&lt;=$D$61),(10-0.5)*$D$66,NA())</f>
        <v/>
      </c>
      <c r="L263" s="51">
        <f>IF(AND(10&lt;=$D$60,10&lt;=$D$61),(10-0.5)*$D$67,NA())</f>
        <v/>
      </c>
    </row>
    <row r="264">
      <c r="K264" s="51">
        <f>IF(AND(10&lt;=$D$60,11&lt;=$D$61),(10-0.5)*$D$66,NA())</f>
        <v/>
      </c>
      <c r="L264" s="51">
        <f>IF(AND(10&lt;=$D$60,11&lt;=$D$61),(11-0.5)*$D$67,NA())</f>
        <v/>
      </c>
    </row>
    <row r="265">
      <c r="K265" s="51">
        <f>IF(AND(10&lt;=$D$60,12&lt;=$D$61),(10-0.5)*$D$66,NA())</f>
        <v/>
      </c>
      <c r="L265" s="51">
        <f>IF(AND(10&lt;=$D$60,12&lt;=$D$61),(12-0.5)*$D$67,NA())</f>
        <v/>
      </c>
    </row>
    <row r="266">
      <c r="K266" s="51">
        <f>IF(AND(10&lt;=$D$60,13&lt;=$D$61),(10-0.5)*$D$66,NA())</f>
        <v/>
      </c>
      <c r="L266" s="51">
        <f>IF(AND(10&lt;=$D$60,13&lt;=$D$61),(13-0.5)*$D$67,NA())</f>
        <v/>
      </c>
    </row>
    <row r="267">
      <c r="K267" s="51">
        <f>IF(AND(10&lt;=$D$60,14&lt;=$D$61),(10-0.5)*$D$66,NA())</f>
        <v/>
      </c>
      <c r="L267" s="51">
        <f>IF(AND(10&lt;=$D$60,14&lt;=$D$61),(14-0.5)*$D$67,NA())</f>
        <v/>
      </c>
    </row>
    <row r="268">
      <c r="K268" s="51">
        <f>IF(AND(10&lt;=$D$60,15&lt;=$D$61),(10-0.5)*$D$66,NA())</f>
        <v/>
      </c>
      <c r="L268" s="51">
        <f>IF(AND(10&lt;=$D$60,15&lt;=$D$61),(15-0.5)*$D$67,NA())</f>
        <v/>
      </c>
    </row>
    <row r="269">
      <c r="K269" s="51">
        <f>IF(AND(11&lt;=$D$60,1&lt;=$D$61),(11-0.5)*$D$66,NA())</f>
        <v/>
      </c>
      <c r="L269" s="51">
        <f>IF(AND(11&lt;=$D$60,1&lt;=$D$61),(1-0.5)*$D$67,NA())</f>
        <v/>
      </c>
    </row>
    <row r="270">
      <c r="K270" s="51">
        <f>IF(AND(11&lt;=$D$60,2&lt;=$D$61),(11-0.5)*$D$66,NA())</f>
        <v/>
      </c>
      <c r="L270" s="51">
        <f>IF(AND(11&lt;=$D$60,2&lt;=$D$61),(2-0.5)*$D$67,NA())</f>
        <v/>
      </c>
    </row>
    <row r="271">
      <c r="K271" s="51">
        <f>IF(AND(11&lt;=$D$60,3&lt;=$D$61),(11-0.5)*$D$66,NA())</f>
        <v/>
      </c>
      <c r="L271" s="51">
        <f>IF(AND(11&lt;=$D$60,3&lt;=$D$61),(3-0.5)*$D$67,NA())</f>
        <v/>
      </c>
    </row>
    <row r="272">
      <c r="K272" s="51">
        <f>IF(AND(11&lt;=$D$60,4&lt;=$D$61),(11-0.5)*$D$66,NA())</f>
        <v/>
      </c>
      <c r="L272" s="51">
        <f>IF(AND(11&lt;=$D$60,4&lt;=$D$61),(4-0.5)*$D$67,NA())</f>
        <v/>
      </c>
    </row>
    <row r="273">
      <c r="K273" s="51">
        <f>IF(AND(11&lt;=$D$60,5&lt;=$D$61),(11-0.5)*$D$66,NA())</f>
        <v/>
      </c>
      <c r="L273" s="51">
        <f>IF(AND(11&lt;=$D$60,5&lt;=$D$61),(5-0.5)*$D$67,NA())</f>
        <v/>
      </c>
    </row>
    <row r="274">
      <c r="K274" s="51">
        <f>IF(AND(11&lt;=$D$60,6&lt;=$D$61),(11-0.5)*$D$66,NA())</f>
        <v/>
      </c>
      <c r="L274" s="51">
        <f>IF(AND(11&lt;=$D$60,6&lt;=$D$61),(6-0.5)*$D$67,NA())</f>
        <v/>
      </c>
    </row>
    <row r="275">
      <c r="K275" s="51">
        <f>IF(AND(11&lt;=$D$60,7&lt;=$D$61),(11-0.5)*$D$66,NA())</f>
        <v/>
      </c>
      <c r="L275" s="51">
        <f>IF(AND(11&lt;=$D$60,7&lt;=$D$61),(7-0.5)*$D$67,NA())</f>
        <v/>
      </c>
    </row>
    <row r="276">
      <c r="K276" s="51">
        <f>IF(AND(11&lt;=$D$60,8&lt;=$D$61),(11-0.5)*$D$66,NA())</f>
        <v/>
      </c>
      <c r="L276" s="51">
        <f>IF(AND(11&lt;=$D$60,8&lt;=$D$61),(8-0.5)*$D$67,NA())</f>
        <v/>
      </c>
    </row>
    <row r="277">
      <c r="K277" s="51">
        <f>IF(AND(11&lt;=$D$60,9&lt;=$D$61),(11-0.5)*$D$66,NA())</f>
        <v/>
      </c>
      <c r="L277" s="51">
        <f>IF(AND(11&lt;=$D$60,9&lt;=$D$61),(9-0.5)*$D$67,NA())</f>
        <v/>
      </c>
    </row>
    <row r="278">
      <c r="K278" s="51">
        <f>IF(AND(11&lt;=$D$60,10&lt;=$D$61),(11-0.5)*$D$66,NA())</f>
        <v/>
      </c>
      <c r="L278" s="51">
        <f>IF(AND(11&lt;=$D$60,10&lt;=$D$61),(10-0.5)*$D$67,NA())</f>
        <v/>
      </c>
    </row>
    <row r="279">
      <c r="K279" s="51">
        <f>IF(AND(11&lt;=$D$60,11&lt;=$D$61),(11-0.5)*$D$66,NA())</f>
        <v/>
      </c>
      <c r="L279" s="51">
        <f>IF(AND(11&lt;=$D$60,11&lt;=$D$61),(11-0.5)*$D$67,NA())</f>
        <v/>
      </c>
    </row>
    <row r="280">
      <c r="K280" s="51">
        <f>IF(AND(11&lt;=$D$60,12&lt;=$D$61),(11-0.5)*$D$66,NA())</f>
        <v/>
      </c>
      <c r="L280" s="51">
        <f>IF(AND(11&lt;=$D$60,12&lt;=$D$61),(12-0.5)*$D$67,NA())</f>
        <v/>
      </c>
    </row>
    <row r="281">
      <c r="K281" s="51">
        <f>IF(AND(11&lt;=$D$60,13&lt;=$D$61),(11-0.5)*$D$66,NA())</f>
        <v/>
      </c>
      <c r="L281" s="51">
        <f>IF(AND(11&lt;=$D$60,13&lt;=$D$61),(13-0.5)*$D$67,NA())</f>
        <v/>
      </c>
    </row>
    <row r="282">
      <c r="K282" s="51">
        <f>IF(AND(11&lt;=$D$60,14&lt;=$D$61),(11-0.5)*$D$66,NA())</f>
        <v/>
      </c>
      <c r="L282" s="51">
        <f>IF(AND(11&lt;=$D$60,14&lt;=$D$61),(14-0.5)*$D$67,NA())</f>
        <v/>
      </c>
    </row>
    <row r="283">
      <c r="K283" s="51">
        <f>IF(AND(11&lt;=$D$60,15&lt;=$D$61),(11-0.5)*$D$66,NA())</f>
        <v/>
      </c>
      <c r="L283" s="51">
        <f>IF(AND(11&lt;=$D$60,15&lt;=$D$61),(15-0.5)*$D$67,NA())</f>
        <v/>
      </c>
    </row>
    <row r="284">
      <c r="K284" s="51">
        <f>IF(AND(12&lt;=$D$60,1&lt;=$D$61),(12-0.5)*$D$66,NA())</f>
        <v/>
      </c>
      <c r="L284" s="51">
        <f>IF(AND(12&lt;=$D$60,1&lt;=$D$61),(1-0.5)*$D$67,NA())</f>
        <v/>
      </c>
    </row>
    <row r="285">
      <c r="K285" s="51">
        <f>IF(AND(12&lt;=$D$60,2&lt;=$D$61),(12-0.5)*$D$66,NA())</f>
        <v/>
      </c>
      <c r="L285" s="51">
        <f>IF(AND(12&lt;=$D$60,2&lt;=$D$61),(2-0.5)*$D$67,NA())</f>
        <v/>
      </c>
    </row>
    <row r="286">
      <c r="K286" s="51">
        <f>IF(AND(12&lt;=$D$60,3&lt;=$D$61),(12-0.5)*$D$66,NA())</f>
        <v/>
      </c>
      <c r="L286" s="51">
        <f>IF(AND(12&lt;=$D$60,3&lt;=$D$61),(3-0.5)*$D$67,NA())</f>
        <v/>
      </c>
    </row>
    <row r="287">
      <c r="K287" s="51">
        <f>IF(AND(12&lt;=$D$60,4&lt;=$D$61),(12-0.5)*$D$66,NA())</f>
        <v/>
      </c>
      <c r="L287" s="51">
        <f>IF(AND(12&lt;=$D$60,4&lt;=$D$61),(4-0.5)*$D$67,NA())</f>
        <v/>
      </c>
    </row>
    <row r="288">
      <c r="K288" s="51">
        <f>IF(AND(12&lt;=$D$60,5&lt;=$D$61),(12-0.5)*$D$66,NA())</f>
        <v/>
      </c>
      <c r="L288" s="51">
        <f>IF(AND(12&lt;=$D$60,5&lt;=$D$61),(5-0.5)*$D$67,NA())</f>
        <v/>
      </c>
    </row>
    <row r="289">
      <c r="K289" s="51">
        <f>IF(AND(12&lt;=$D$60,6&lt;=$D$61),(12-0.5)*$D$66,NA())</f>
        <v/>
      </c>
      <c r="L289" s="51">
        <f>IF(AND(12&lt;=$D$60,6&lt;=$D$61),(6-0.5)*$D$67,NA())</f>
        <v/>
      </c>
    </row>
    <row r="290">
      <c r="K290" s="51">
        <f>IF(AND(12&lt;=$D$60,7&lt;=$D$61),(12-0.5)*$D$66,NA())</f>
        <v/>
      </c>
      <c r="L290" s="51">
        <f>IF(AND(12&lt;=$D$60,7&lt;=$D$61),(7-0.5)*$D$67,NA())</f>
        <v/>
      </c>
    </row>
    <row r="291">
      <c r="K291" s="51">
        <f>IF(AND(12&lt;=$D$60,8&lt;=$D$61),(12-0.5)*$D$66,NA())</f>
        <v/>
      </c>
      <c r="L291" s="51">
        <f>IF(AND(12&lt;=$D$60,8&lt;=$D$61),(8-0.5)*$D$67,NA())</f>
        <v/>
      </c>
    </row>
    <row r="292">
      <c r="K292" s="51">
        <f>IF(AND(12&lt;=$D$60,9&lt;=$D$61),(12-0.5)*$D$66,NA())</f>
        <v/>
      </c>
      <c r="L292" s="51">
        <f>IF(AND(12&lt;=$D$60,9&lt;=$D$61),(9-0.5)*$D$67,NA())</f>
        <v/>
      </c>
    </row>
    <row r="293">
      <c r="K293" s="51">
        <f>IF(AND(12&lt;=$D$60,10&lt;=$D$61),(12-0.5)*$D$66,NA())</f>
        <v/>
      </c>
      <c r="L293" s="51">
        <f>IF(AND(12&lt;=$D$60,10&lt;=$D$61),(10-0.5)*$D$67,NA())</f>
        <v/>
      </c>
    </row>
    <row r="294">
      <c r="K294" s="51">
        <f>IF(AND(12&lt;=$D$60,11&lt;=$D$61),(12-0.5)*$D$66,NA())</f>
        <v/>
      </c>
      <c r="L294" s="51">
        <f>IF(AND(12&lt;=$D$60,11&lt;=$D$61),(11-0.5)*$D$67,NA())</f>
        <v/>
      </c>
    </row>
    <row r="295">
      <c r="K295" s="51">
        <f>IF(AND(12&lt;=$D$60,12&lt;=$D$61),(12-0.5)*$D$66,NA())</f>
        <v/>
      </c>
      <c r="L295" s="51">
        <f>IF(AND(12&lt;=$D$60,12&lt;=$D$61),(12-0.5)*$D$67,NA())</f>
        <v/>
      </c>
    </row>
    <row r="296">
      <c r="K296" s="51">
        <f>IF(AND(12&lt;=$D$60,13&lt;=$D$61),(12-0.5)*$D$66,NA())</f>
        <v/>
      </c>
      <c r="L296" s="51">
        <f>IF(AND(12&lt;=$D$60,13&lt;=$D$61),(13-0.5)*$D$67,NA())</f>
        <v/>
      </c>
    </row>
    <row r="297">
      <c r="K297" s="51">
        <f>IF(AND(12&lt;=$D$60,14&lt;=$D$61),(12-0.5)*$D$66,NA())</f>
        <v/>
      </c>
      <c r="L297" s="51">
        <f>IF(AND(12&lt;=$D$60,14&lt;=$D$61),(14-0.5)*$D$67,NA())</f>
        <v/>
      </c>
    </row>
    <row r="298">
      <c r="K298" s="51">
        <f>IF(AND(12&lt;=$D$60,15&lt;=$D$61),(12-0.5)*$D$66,NA())</f>
        <v/>
      </c>
      <c r="L298" s="51">
        <f>IF(AND(12&lt;=$D$60,15&lt;=$D$61),(15-0.5)*$D$67,NA())</f>
        <v/>
      </c>
    </row>
    <row r="299">
      <c r="K299" s="51">
        <f>IF(AND(13&lt;=$D$60,1&lt;=$D$61),(13-0.5)*$D$66,NA())</f>
        <v/>
      </c>
      <c r="L299" s="51">
        <f>IF(AND(13&lt;=$D$60,1&lt;=$D$61),(1-0.5)*$D$67,NA())</f>
        <v/>
      </c>
    </row>
    <row r="300">
      <c r="K300" s="51">
        <f>IF(AND(13&lt;=$D$60,2&lt;=$D$61),(13-0.5)*$D$66,NA())</f>
        <v/>
      </c>
      <c r="L300" s="51">
        <f>IF(AND(13&lt;=$D$60,2&lt;=$D$61),(2-0.5)*$D$67,NA())</f>
        <v/>
      </c>
    </row>
    <row r="301">
      <c r="K301" s="51">
        <f>IF(AND(13&lt;=$D$60,3&lt;=$D$61),(13-0.5)*$D$66,NA())</f>
        <v/>
      </c>
      <c r="L301" s="51">
        <f>IF(AND(13&lt;=$D$60,3&lt;=$D$61),(3-0.5)*$D$67,NA())</f>
        <v/>
      </c>
    </row>
    <row r="302">
      <c r="K302" s="51">
        <f>IF(AND(13&lt;=$D$60,4&lt;=$D$61),(13-0.5)*$D$66,NA())</f>
        <v/>
      </c>
      <c r="L302" s="51">
        <f>IF(AND(13&lt;=$D$60,4&lt;=$D$61),(4-0.5)*$D$67,NA())</f>
        <v/>
      </c>
    </row>
    <row r="303">
      <c r="K303" s="51">
        <f>IF(AND(13&lt;=$D$60,5&lt;=$D$61),(13-0.5)*$D$66,NA())</f>
        <v/>
      </c>
      <c r="L303" s="51">
        <f>IF(AND(13&lt;=$D$60,5&lt;=$D$61),(5-0.5)*$D$67,NA())</f>
        <v/>
      </c>
    </row>
    <row r="304">
      <c r="K304" s="51">
        <f>IF(AND(13&lt;=$D$60,6&lt;=$D$61),(13-0.5)*$D$66,NA())</f>
        <v/>
      </c>
      <c r="L304" s="51">
        <f>IF(AND(13&lt;=$D$60,6&lt;=$D$61),(6-0.5)*$D$67,NA())</f>
        <v/>
      </c>
    </row>
    <row r="305">
      <c r="K305" s="51">
        <f>IF(AND(13&lt;=$D$60,7&lt;=$D$61),(13-0.5)*$D$66,NA())</f>
        <v/>
      </c>
      <c r="L305" s="51">
        <f>IF(AND(13&lt;=$D$60,7&lt;=$D$61),(7-0.5)*$D$67,NA())</f>
        <v/>
      </c>
    </row>
    <row r="306">
      <c r="K306" s="51">
        <f>IF(AND(13&lt;=$D$60,8&lt;=$D$61),(13-0.5)*$D$66,NA())</f>
        <v/>
      </c>
      <c r="L306" s="51">
        <f>IF(AND(13&lt;=$D$60,8&lt;=$D$61),(8-0.5)*$D$67,NA())</f>
        <v/>
      </c>
    </row>
    <row r="307">
      <c r="K307" s="51">
        <f>IF(AND(13&lt;=$D$60,9&lt;=$D$61),(13-0.5)*$D$66,NA())</f>
        <v/>
      </c>
      <c r="L307" s="51">
        <f>IF(AND(13&lt;=$D$60,9&lt;=$D$61),(9-0.5)*$D$67,NA())</f>
        <v/>
      </c>
    </row>
    <row r="308">
      <c r="K308" s="51">
        <f>IF(AND(13&lt;=$D$60,10&lt;=$D$61),(13-0.5)*$D$66,NA())</f>
        <v/>
      </c>
      <c r="L308" s="51">
        <f>IF(AND(13&lt;=$D$60,10&lt;=$D$61),(10-0.5)*$D$67,NA())</f>
        <v/>
      </c>
    </row>
    <row r="309">
      <c r="K309" s="51">
        <f>IF(AND(13&lt;=$D$60,11&lt;=$D$61),(13-0.5)*$D$66,NA())</f>
        <v/>
      </c>
      <c r="L309" s="51">
        <f>IF(AND(13&lt;=$D$60,11&lt;=$D$61),(11-0.5)*$D$67,NA())</f>
        <v/>
      </c>
    </row>
    <row r="310">
      <c r="K310" s="51">
        <f>IF(AND(13&lt;=$D$60,12&lt;=$D$61),(13-0.5)*$D$66,NA())</f>
        <v/>
      </c>
      <c r="L310" s="51">
        <f>IF(AND(13&lt;=$D$60,12&lt;=$D$61),(12-0.5)*$D$67,NA())</f>
        <v/>
      </c>
    </row>
    <row r="311">
      <c r="K311" s="51">
        <f>IF(AND(13&lt;=$D$60,13&lt;=$D$61),(13-0.5)*$D$66,NA())</f>
        <v/>
      </c>
      <c r="L311" s="51">
        <f>IF(AND(13&lt;=$D$60,13&lt;=$D$61),(13-0.5)*$D$67,NA())</f>
        <v/>
      </c>
    </row>
    <row r="312">
      <c r="K312" s="51">
        <f>IF(AND(13&lt;=$D$60,14&lt;=$D$61),(13-0.5)*$D$66,NA())</f>
        <v/>
      </c>
      <c r="L312" s="51">
        <f>IF(AND(13&lt;=$D$60,14&lt;=$D$61),(14-0.5)*$D$67,NA())</f>
        <v/>
      </c>
    </row>
    <row r="313">
      <c r="K313" s="51">
        <f>IF(AND(13&lt;=$D$60,15&lt;=$D$61),(13-0.5)*$D$66,NA())</f>
        <v/>
      </c>
      <c r="L313" s="51">
        <f>IF(AND(13&lt;=$D$60,15&lt;=$D$61),(15-0.5)*$D$67,NA())</f>
        <v/>
      </c>
    </row>
    <row r="314">
      <c r="K314" s="51">
        <f>IF(AND(14&lt;=$D$60,1&lt;=$D$61),(14-0.5)*$D$66,NA())</f>
        <v/>
      </c>
      <c r="L314" s="51">
        <f>IF(AND(14&lt;=$D$60,1&lt;=$D$61),(1-0.5)*$D$67,NA())</f>
        <v/>
      </c>
    </row>
    <row r="315">
      <c r="K315" s="51">
        <f>IF(AND(14&lt;=$D$60,2&lt;=$D$61),(14-0.5)*$D$66,NA())</f>
        <v/>
      </c>
      <c r="L315" s="51">
        <f>IF(AND(14&lt;=$D$60,2&lt;=$D$61),(2-0.5)*$D$67,NA())</f>
        <v/>
      </c>
    </row>
    <row r="316">
      <c r="K316" s="51">
        <f>IF(AND(14&lt;=$D$60,3&lt;=$D$61),(14-0.5)*$D$66,NA())</f>
        <v/>
      </c>
      <c r="L316" s="51">
        <f>IF(AND(14&lt;=$D$60,3&lt;=$D$61),(3-0.5)*$D$67,NA())</f>
        <v/>
      </c>
    </row>
    <row r="317">
      <c r="K317" s="51">
        <f>IF(AND(14&lt;=$D$60,4&lt;=$D$61),(14-0.5)*$D$66,NA())</f>
        <v/>
      </c>
      <c r="L317" s="51">
        <f>IF(AND(14&lt;=$D$60,4&lt;=$D$61),(4-0.5)*$D$67,NA())</f>
        <v/>
      </c>
    </row>
    <row r="318">
      <c r="K318" s="51">
        <f>IF(AND(14&lt;=$D$60,5&lt;=$D$61),(14-0.5)*$D$66,NA())</f>
        <v/>
      </c>
      <c r="L318" s="51">
        <f>IF(AND(14&lt;=$D$60,5&lt;=$D$61),(5-0.5)*$D$67,NA())</f>
        <v/>
      </c>
    </row>
    <row r="319">
      <c r="K319" s="51">
        <f>IF(AND(14&lt;=$D$60,6&lt;=$D$61),(14-0.5)*$D$66,NA())</f>
        <v/>
      </c>
      <c r="L319" s="51">
        <f>IF(AND(14&lt;=$D$60,6&lt;=$D$61),(6-0.5)*$D$67,NA())</f>
        <v/>
      </c>
    </row>
    <row r="320">
      <c r="K320" s="51">
        <f>IF(AND(14&lt;=$D$60,7&lt;=$D$61),(14-0.5)*$D$66,NA())</f>
        <v/>
      </c>
      <c r="L320" s="51">
        <f>IF(AND(14&lt;=$D$60,7&lt;=$D$61),(7-0.5)*$D$67,NA())</f>
        <v/>
      </c>
    </row>
    <row r="321">
      <c r="K321" s="51">
        <f>IF(AND(14&lt;=$D$60,8&lt;=$D$61),(14-0.5)*$D$66,NA())</f>
        <v/>
      </c>
      <c r="L321" s="51">
        <f>IF(AND(14&lt;=$D$60,8&lt;=$D$61),(8-0.5)*$D$67,NA())</f>
        <v/>
      </c>
    </row>
    <row r="322">
      <c r="K322" s="51">
        <f>IF(AND(14&lt;=$D$60,9&lt;=$D$61),(14-0.5)*$D$66,NA())</f>
        <v/>
      </c>
      <c r="L322" s="51">
        <f>IF(AND(14&lt;=$D$60,9&lt;=$D$61),(9-0.5)*$D$67,NA())</f>
        <v/>
      </c>
    </row>
    <row r="323">
      <c r="K323" s="51">
        <f>IF(AND(14&lt;=$D$60,10&lt;=$D$61),(14-0.5)*$D$66,NA())</f>
        <v/>
      </c>
      <c r="L323" s="51">
        <f>IF(AND(14&lt;=$D$60,10&lt;=$D$61),(10-0.5)*$D$67,NA())</f>
        <v/>
      </c>
    </row>
    <row r="324">
      <c r="K324" s="51">
        <f>IF(AND(14&lt;=$D$60,11&lt;=$D$61),(14-0.5)*$D$66,NA())</f>
        <v/>
      </c>
      <c r="L324" s="51">
        <f>IF(AND(14&lt;=$D$60,11&lt;=$D$61),(11-0.5)*$D$67,NA())</f>
        <v/>
      </c>
    </row>
    <row r="325">
      <c r="K325" s="51">
        <f>IF(AND(14&lt;=$D$60,12&lt;=$D$61),(14-0.5)*$D$66,NA())</f>
        <v/>
      </c>
      <c r="L325" s="51">
        <f>IF(AND(14&lt;=$D$60,12&lt;=$D$61),(12-0.5)*$D$67,NA())</f>
        <v/>
      </c>
    </row>
    <row r="326">
      <c r="K326" s="51">
        <f>IF(AND(14&lt;=$D$60,13&lt;=$D$61),(14-0.5)*$D$66,NA())</f>
        <v/>
      </c>
      <c r="L326" s="51">
        <f>IF(AND(14&lt;=$D$60,13&lt;=$D$61),(13-0.5)*$D$67,NA())</f>
        <v/>
      </c>
    </row>
    <row r="327">
      <c r="K327" s="51">
        <f>IF(AND(14&lt;=$D$60,14&lt;=$D$61),(14-0.5)*$D$66,NA())</f>
        <v/>
      </c>
      <c r="L327" s="51">
        <f>IF(AND(14&lt;=$D$60,14&lt;=$D$61),(14-0.5)*$D$67,NA())</f>
        <v/>
      </c>
    </row>
    <row r="328">
      <c r="K328" s="51">
        <f>IF(AND(14&lt;=$D$60,15&lt;=$D$61),(14-0.5)*$D$66,NA())</f>
        <v/>
      </c>
      <c r="L328" s="51">
        <f>IF(AND(14&lt;=$D$60,15&lt;=$D$61),(15-0.5)*$D$67,NA())</f>
        <v/>
      </c>
    </row>
    <row r="329">
      <c r="K329" s="51">
        <f>IF(AND(15&lt;=$D$60,1&lt;=$D$61),(15-0.5)*$D$66,NA())</f>
        <v/>
      </c>
      <c r="L329" s="51">
        <f>IF(AND(15&lt;=$D$60,1&lt;=$D$61),(1-0.5)*$D$67,NA())</f>
        <v/>
      </c>
    </row>
    <row r="330">
      <c r="K330" s="51">
        <f>IF(AND(15&lt;=$D$60,2&lt;=$D$61),(15-0.5)*$D$66,NA())</f>
        <v/>
      </c>
      <c r="L330" s="51">
        <f>IF(AND(15&lt;=$D$60,2&lt;=$D$61),(2-0.5)*$D$67,NA())</f>
        <v/>
      </c>
    </row>
    <row r="331">
      <c r="K331" s="51">
        <f>IF(AND(15&lt;=$D$60,3&lt;=$D$61),(15-0.5)*$D$66,NA())</f>
        <v/>
      </c>
      <c r="L331" s="51">
        <f>IF(AND(15&lt;=$D$60,3&lt;=$D$61),(3-0.5)*$D$67,NA())</f>
        <v/>
      </c>
    </row>
    <row r="332">
      <c r="K332" s="51">
        <f>IF(AND(15&lt;=$D$60,4&lt;=$D$61),(15-0.5)*$D$66,NA())</f>
        <v/>
      </c>
      <c r="L332" s="51">
        <f>IF(AND(15&lt;=$D$60,4&lt;=$D$61),(4-0.5)*$D$67,NA())</f>
        <v/>
      </c>
    </row>
    <row r="333">
      <c r="K333" s="51">
        <f>IF(AND(15&lt;=$D$60,5&lt;=$D$61),(15-0.5)*$D$66,NA())</f>
        <v/>
      </c>
      <c r="L333" s="51">
        <f>IF(AND(15&lt;=$D$60,5&lt;=$D$61),(5-0.5)*$D$67,NA())</f>
        <v/>
      </c>
    </row>
    <row r="334">
      <c r="K334" s="51">
        <f>IF(AND(15&lt;=$D$60,6&lt;=$D$61),(15-0.5)*$D$66,NA())</f>
        <v/>
      </c>
      <c r="L334" s="51">
        <f>IF(AND(15&lt;=$D$60,6&lt;=$D$61),(6-0.5)*$D$67,NA())</f>
        <v/>
      </c>
    </row>
    <row r="335">
      <c r="K335" s="51">
        <f>IF(AND(15&lt;=$D$60,7&lt;=$D$61),(15-0.5)*$D$66,NA())</f>
        <v/>
      </c>
      <c r="L335" s="51">
        <f>IF(AND(15&lt;=$D$60,7&lt;=$D$61),(7-0.5)*$D$67,NA())</f>
        <v/>
      </c>
    </row>
    <row r="336">
      <c r="K336" s="51">
        <f>IF(AND(15&lt;=$D$60,8&lt;=$D$61),(15-0.5)*$D$66,NA())</f>
        <v/>
      </c>
      <c r="L336" s="51">
        <f>IF(AND(15&lt;=$D$60,8&lt;=$D$61),(8-0.5)*$D$67,NA())</f>
        <v/>
      </c>
    </row>
    <row r="337">
      <c r="K337" s="51">
        <f>IF(AND(15&lt;=$D$60,9&lt;=$D$61),(15-0.5)*$D$66,NA())</f>
        <v/>
      </c>
      <c r="L337" s="51">
        <f>IF(AND(15&lt;=$D$60,9&lt;=$D$61),(9-0.5)*$D$67,NA())</f>
        <v/>
      </c>
    </row>
    <row r="338">
      <c r="K338" s="51">
        <f>IF(AND(15&lt;=$D$60,10&lt;=$D$61),(15-0.5)*$D$66,NA())</f>
        <v/>
      </c>
      <c r="L338" s="51">
        <f>IF(AND(15&lt;=$D$60,10&lt;=$D$61),(10-0.5)*$D$67,NA())</f>
        <v/>
      </c>
    </row>
    <row r="339">
      <c r="K339" s="51">
        <f>IF(AND(15&lt;=$D$60,11&lt;=$D$61),(15-0.5)*$D$66,NA())</f>
        <v/>
      </c>
      <c r="L339" s="51">
        <f>IF(AND(15&lt;=$D$60,11&lt;=$D$61),(11-0.5)*$D$67,NA())</f>
        <v/>
      </c>
    </row>
    <row r="340">
      <c r="K340" s="51">
        <f>IF(AND(15&lt;=$D$60,12&lt;=$D$61),(15-0.5)*$D$66,NA())</f>
        <v/>
      </c>
      <c r="L340" s="51">
        <f>IF(AND(15&lt;=$D$60,12&lt;=$D$61),(12-0.5)*$D$67,NA())</f>
        <v/>
      </c>
    </row>
    <row r="341">
      <c r="K341" s="51">
        <f>IF(AND(15&lt;=$D$60,13&lt;=$D$61),(15-0.5)*$D$66,NA())</f>
        <v/>
      </c>
      <c r="L341" s="51">
        <f>IF(AND(15&lt;=$D$60,13&lt;=$D$61),(13-0.5)*$D$67,NA())</f>
        <v/>
      </c>
    </row>
    <row r="342">
      <c r="K342" s="51">
        <f>IF(AND(15&lt;=$D$60,14&lt;=$D$61),(15-0.5)*$D$66,NA())</f>
        <v/>
      </c>
      <c r="L342" s="51">
        <f>IF(AND(15&lt;=$D$60,14&lt;=$D$61),(14-0.5)*$D$67,NA())</f>
        <v/>
      </c>
    </row>
    <row r="343">
      <c r="K343" s="51">
        <f>IF(AND(15&lt;=$D$60,15&lt;=$D$61),(15-0.5)*$D$66,NA())</f>
        <v/>
      </c>
      <c r="L343" s="51">
        <f>IF(AND(15&lt;=$D$60,15&lt;=$D$61),(15-0.5)*$D$67,NA())</f>
        <v/>
      </c>
    </row>
    <row r="345">
      <c r="M345" s="51">
        <f>0</f>
        <v/>
      </c>
      <c r="N345" s="51">
        <f>0</f>
        <v/>
      </c>
    </row>
    <row r="346">
      <c r="M346" s="51">
        <f>$D$23</f>
        <v/>
      </c>
      <c r="N346" s="51">
        <f>0</f>
        <v/>
      </c>
    </row>
    <row r="347">
      <c r="M347" s="51">
        <f>$D$23</f>
        <v/>
      </c>
      <c r="N347" s="51">
        <f>$D$24</f>
        <v/>
      </c>
    </row>
    <row r="348">
      <c r="M348" s="51">
        <f>0</f>
        <v/>
      </c>
      <c r="N348" s="51">
        <f>$D$24</f>
        <v/>
      </c>
    </row>
    <row r="349">
      <c r="M349" s="51">
        <f>0</f>
        <v/>
      </c>
      <c r="N349" s="51">
        <f>0</f>
        <v/>
      </c>
    </row>
    <row r="351">
      <c r="M351" s="18" t="n">
        <v>0</v>
      </c>
      <c r="N351" s="18" t="n">
        <v>0</v>
      </c>
    </row>
    <row r="352">
      <c r="M352" s="51">
        <f>1.05*MAX($D$23,$D$24)</f>
        <v/>
      </c>
      <c r="N352" s="51">
        <f>1.05*MAX($D$23,$D$24)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42">
    <mergeCell ref="D35:H35"/>
    <mergeCell ref="F18:H18"/>
    <mergeCell ref="D34:H34"/>
    <mergeCell ref="F45:H45"/>
    <mergeCell ref="F50:H50"/>
    <mergeCell ref="F26:H26"/>
    <mergeCell ref="F66:H66"/>
    <mergeCell ref="B33:H33"/>
    <mergeCell ref="B76:H76"/>
    <mergeCell ref="F27:H27"/>
    <mergeCell ref="D11:H11"/>
    <mergeCell ref="F56:H56"/>
    <mergeCell ref="B100:H100"/>
    <mergeCell ref="F67:H67"/>
    <mergeCell ref="B72:H72"/>
    <mergeCell ref="F15:H15"/>
    <mergeCell ref="C7:H7"/>
    <mergeCell ref="D48:H48"/>
    <mergeCell ref="B22:H22"/>
    <mergeCell ref="F14:H14"/>
    <mergeCell ref="D43:H43"/>
    <mergeCell ref="B52:H52"/>
    <mergeCell ref="C69:E69"/>
    <mergeCell ref="B70:H70"/>
    <mergeCell ref="B2:H2"/>
    <mergeCell ref="C3:H3"/>
    <mergeCell ref="C30:E30"/>
    <mergeCell ref="F44:H44"/>
    <mergeCell ref="C68:E68"/>
    <mergeCell ref="C6:H6"/>
    <mergeCell ref="D12:H12"/>
    <mergeCell ref="F16:H16"/>
    <mergeCell ref="B1:H1"/>
    <mergeCell ref="C5:H5"/>
    <mergeCell ref="B53:H53"/>
    <mergeCell ref="C64:E64"/>
    <mergeCell ref="B78:H78"/>
    <mergeCell ref="C4:H4"/>
    <mergeCell ref="B10:H10"/>
    <mergeCell ref="C20:E20"/>
    <mergeCell ref="F55:H55"/>
    <mergeCell ref="C47:E47"/>
  </mergeCells>
  <conditionalFormatting sqref="B1:H101">
    <cfRule type="expression" priority="1" dxfId="0" stopIfTrue="1">
      <formula>ISNUMBER(SEARCH("NO CUMPLE",B1))</formula>
    </cfRule>
    <cfRule type="expression" priority="2" dxfId="1" stopIfTrue="1">
      <formula>OR(LEFT(B1,7)="REVISAR",LEFT(B1,6)="AVISO:",LEFT(B1,7)="Elija e",LEFT(B1,9)="Insuficie")</formula>
    </cfRule>
    <cfRule type="expression" priority="3" dxfId="2">
      <formula>B1="CUMPLE"</formula>
    </cfRule>
  </conditionalFormatting>
  <dataValidations count="15">
    <dataValidation sqref="D11" showDropDown="0" showInputMessage="0" showErrorMessage="0" allowBlank="1" errorTitle="Valor no válido" error="Elija un valor de la lista" type="list">
      <formula1>=EM_SEC</formula1>
    </dataValidation>
    <dataValidation sqref="D12" showDropDown="0" showInputMessage="0" showErrorMessage="0" allowBlank="1" errorTitle="Valor no válido" error="Elija un valor de la lista" type="list">
      <formula1>=INDIRECT(VLOOKUP($D$11,EM_SECMAP,2,FALSE))</formula1>
    </dataValidation>
    <dataValidation sqref="D23" showDropDown="0" showInputMessage="0" showErrorMessage="0" allowBlank="1" errorTitle="Valor fuera de rango" error="Ingrese un valor entre 0.5 y 300" type="decimal" operator="between">
      <formula1>0.5</formula1>
      <formula2>300</formula2>
    </dataValidation>
    <dataValidation sqref="D24" showDropDown="0" showInputMessage="0" showErrorMessage="0" allowBlank="1" errorTitle="Valor fuera de rango" error="Ingrese un valor entre 0.5 y 300" type="decimal" operator="between">
      <formula1>0.5</formula1>
      <formula2>300</formula2>
    </dataValidation>
    <dataValidation sqref="D25" showDropDown="0" showInputMessage="0" showErrorMessage="0" allowBlank="1" errorTitle="Valor fuera de rango" error="Ingrese un valor entre 1.5 y 40" type="decimal" operator="between">
      <formula1>1.5</formula1>
      <formula2>40</formula2>
    </dataValidation>
    <dataValidation sqref="D26" showDropDown="0" showInputMessage="0" showErrorMessage="0" allowBlank="1" errorTitle="Valor fuera de rango" error="Ingrese un valor entre 0 y 5" type="decimal" operator="between">
      <formula1>0</formula1>
      <formula2>5</formula2>
    </dataValidation>
    <dataValidation sqref="D27" showDropDown="0" showInputMessage="0" showErrorMessage="0" allowBlank="1" errorTitle="Valor fuera de rango" error="Ingrese un valor entre 0 y 30" type="decimal" operator="between">
      <formula1>0</formula1>
      <formula2>30</formula2>
    </dataValidation>
    <dataValidation sqref="D34" showDropDown="0" showInputMessage="0" showErrorMessage="0" allowBlank="1" errorTitle="Valor no válido" error="Elija un valor de la lista" type="list">
      <formula1>=REFL_NOM</formula1>
    </dataValidation>
    <dataValidation sqref="D35" showDropDown="0" showInputMessage="0" showErrorMessage="0" allowBlank="1" errorTitle="Valor no válido" error="Elija un valor de la lista" type="list">
      <formula1>=LUM_NOM</formula1>
    </dataValidation>
    <dataValidation sqref="D45" showDropDown="0" showInputMessage="0" showErrorMessage="0" allowBlank="1" errorTitle="Valor fuera de rango" error="Ingrese un valor entre 0.05 y 1.5" type="decimal" operator="between">
      <formula1>0.05</formula1>
      <formula2>1.5</formula2>
    </dataValidation>
    <dataValidation sqref="D48" showDropDown="0" showInputMessage="0" showErrorMessage="0" allowBlank="1" errorTitle="Valor no válido" error="Elija un valor de la lista" type="list">
      <formula1>=FM_NOM</formula1>
    </dataValidation>
    <dataValidation sqref="D49" showDropDown="0" showInputMessage="0" showErrorMessage="0" allowBlank="1" errorTitle="Valor fuera de rango" error="Ingrese un valor entre 0.3 y 1" type="decimal" operator="between">
      <formula1>0.3</formula1>
      <formula2>1</formula2>
    </dataValidation>
    <dataValidation sqref="D55" showDropDown="0" showInputMessage="0" showErrorMessage="0" allowBlank="1" errorTitle="Valor fuera de rango" error="Ingrese un valor entre 0.3 y 4" type="decimal" operator="between">
      <formula1>0.3</formula1>
      <formula2>4</formula2>
    </dataValidation>
    <dataValidation sqref="D58" showDropDown="0" showInputMessage="0" showErrorMessage="0" allowBlank="1" errorTitle="Valor fuera de rango" error="Ingrese un valor entre 1 y 100" type="decimal" operator="between">
      <formula1>1</formula1>
      <formula2>100</formula2>
    </dataValidation>
    <dataValidation sqref="D59" showDropDown="0" showInputMessage="0" showErrorMessage="0" allowBlank="1" errorTitle="Valor fuera de rango" error="Ingrese un valor entre 1 y 100" type="decimal" operator="between">
      <formula1>1</formula1>
      <formula2>100</formula2>
    </dataValidation>
  </dataValidations>
  <printOptions horizontalCentered="1"/>
  <pageMargins left="0.5" right="0.5" top="0.6" bottom="0.6" header="0.3" footer="0.3"/>
  <pageSetup orientation="portrait" paperSize="9" fitToHeight="0" fitToWidth="1"/>
  <headerFooter>
    <oddHeader>&amp;L&amp;"Times New Roman,Regular"&amp;7 ALF_BIM · Calculadoras IIEE ALF · Iluminación&amp;R&amp;"Times New Roman,Regular"&amp;7 Página &amp;P de &amp;N</oddHeader>
    <oddFooter>&amp;L&amp;"Times New Roman,Regular"&amp;7 www.alfbim.com · Herramienta gratuita de apoyo. Los resultados deben ser revisados por un ingeniero electricista o mecánico electricista colegiado.&amp;R&amp;"Times New Roman,Regular"&amp;7 &amp;A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F5B400"/>
    <outlinePr summaryBelow="1" summaryRight="1"/>
    <pageSetUpPr fitToPage="1"/>
  </sheetPr>
  <dimension ref="B1:AH42"/>
  <sheetViews>
    <sheetView showGridLines="0" tabSelected="0" workbookViewId="0">
      <pane xSplit="3" ySplit="13" topLeftCell="D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.5" customWidth="1" min="1" max="1"/>
    <col width="4" customWidth="1" min="2" max="2"/>
    <col width="18" customWidth="1" min="3" max="3"/>
    <col width="13" customWidth="1" min="4" max="4"/>
    <col width="28" customWidth="1" min="5" max="5"/>
    <col width="7" customWidth="1" min="6" max="6"/>
    <col width="6.5" customWidth="1" min="7" max="7"/>
    <col width="6.5" customWidth="1" min="8" max="8"/>
    <col width="6.5" customWidth="1" min="9" max="9"/>
    <col width="7" customWidth="1" min="10" max="10"/>
    <col width="22" customWidth="1" min="11" max="11"/>
    <col width="6" customWidth="1" min="12" max="12"/>
    <col width="6" customWidth="1" min="13" max="13"/>
    <col width="7" customWidth="1" min="14" max="14"/>
    <col width="8" customWidth="1" min="15" max="15"/>
    <col width="8" customWidth="1" min="16" max="16"/>
    <col width="7.5" customWidth="1" min="17" max="17"/>
    <col width="8" customWidth="1" min="18" max="18"/>
    <col width="7" customWidth="1" min="19" max="19"/>
    <col width="12" customWidth="1" min="20" max="20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</cols>
  <sheetData>
    <row r="1" ht="24" customHeight="1">
      <c r="B1" s="17" t="inlineStr">
        <is>
          <t>CUADRO DE ILUMINACIÓN POR AMBIENTES · MÉTODO DE LOS LÚMENES · NTE EM.010-2019</t>
        </is>
      </c>
    </row>
    <row r="2">
      <c r="B2" s="19" t="inlineStr">
        <is>
          <t>ALF_BIM · Calculadoras IIEE ALF · v1.0.0</t>
        </is>
      </c>
    </row>
    <row r="3">
      <c r="B3" s="20" t="inlineStr">
        <is>
          <t>Proyecto</t>
        </is>
      </c>
      <c r="C3" s="22" t="n"/>
      <c r="D3" s="55">
        <f>INICIO!$D$7</f>
        <v/>
      </c>
      <c r="E3" s="22" t="n"/>
      <c r="F3" s="22" t="n"/>
      <c r="G3" s="22" t="n"/>
      <c r="H3" s="22" t="n"/>
      <c r="I3" s="22" t="n"/>
      <c r="J3" s="22" t="n"/>
      <c r="K3" s="22" t="n"/>
      <c r="L3" s="22" t="n"/>
      <c r="M3" s="22" t="n"/>
      <c r="N3" s="22" t="n"/>
      <c r="O3" s="22" t="n"/>
      <c r="P3" s="22" t="n"/>
      <c r="Q3" s="22" t="n"/>
      <c r="R3" s="22" t="n"/>
      <c r="S3" s="22" t="n"/>
      <c r="T3" s="22" t="n"/>
    </row>
    <row r="4">
      <c r="B4" s="20" t="inlineStr">
        <is>
          <t>Ubicación</t>
        </is>
      </c>
      <c r="C4" s="22" t="n"/>
      <c r="D4" s="55">
        <f>INICIO!$D$9</f>
        <v/>
      </c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  <c r="O4" s="22" t="n"/>
      <c r="P4" s="22" t="n"/>
      <c r="Q4" s="22" t="n"/>
      <c r="R4" s="22" t="n"/>
      <c r="S4" s="22" t="n"/>
      <c r="T4" s="22" t="n"/>
    </row>
    <row r="5">
      <c r="B5" s="20" t="inlineStr">
        <is>
          <t>Proyectista</t>
        </is>
      </c>
      <c r="C5" s="22" t="n"/>
      <c r="D5" s="55">
        <f>INICIO!$D$10&amp;IF(INICIO!$D$11="",""," · CIP "&amp;INICIO!$D$11)</f>
        <v/>
      </c>
      <c r="E5" s="22" t="n"/>
      <c r="F5" s="22" t="n"/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  <c r="T5" s="22" t="n"/>
    </row>
    <row r="6">
      <c r="B6" s="20" t="inlineStr">
        <is>
          <t>Fecha</t>
        </is>
      </c>
      <c r="C6" s="22" t="n"/>
      <c r="D6" s="24">
        <f>INICIO!$D$12</f>
        <v/>
      </c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  <c r="Q6" s="22" t="n"/>
      <c r="R6" s="22" t="n"/>
      <c r="S6" s="22" t="n"/>
      <c r="T6" s="22" t="n"/>
    </row>
    <row r="8">
      <c r="B8" s="16" t="inlineStr">
        <is>
          <t>DATOS COMUNES</t>
        </is>
      </c>
    </row>
    <row r="9">
      <c r="C9" s="9" t="inlineStr">
        <is>
          <t>Plano de trabajo por defecto (m)</t>
        </is>
      </c>
      <c r="F9" s="29" t="n">
        <v>0.8</v>
      </c>
      <c r="G9" s="38" t="n"/>
      <c r="I9" s="31" t="inlineStr">
        <is>
          <t>Elija el uso y luego el tipo de interior (la lista se filtra por uso). Em de la EM.010-2019. Plano de trabajo: 0.80 m en escritorios y aulas, 0.00 m en pasillos, escaleras y baños (columna opcional por ambiente). FM: 0.70 normal, 0.80 limpio (oficinas, aulas, salud). Luminarias del catálogo de TABLAS (edítelo con los datos del fabricante). Más detalle: hoja ILUMINACION.</t>
        </is>
      </c>
    </row>
    <row r="10">
      <c r="C10" s="9" t="inlineStr">
        <is>
          <t>Reflectancias techo/pared/suelo</t>
        </is>
      </c>
      <c r="F10" s="56" t="inlineStr">
        <is>
          <t>0.7 / 0.5 / 0.2</t>
        </is>
      </c>
      <c r="G10" s="38" t="n"/>
    </row>
    <row r="11">
      <c r="C11" s="9" t="inlineStr">
        <is>
          <t>Factor de mantenimiento</t>
        </is>
      </c>
      <c r="F11" s="29" t="n">
        <v>0.7</v>
      </c>
      <c r="G11" s="38" t="n"/>
    </row>
    <row r="13" ht="36" customHeight="1">
      <c r="B13" s="32" t="inlineStr">
        <is>
          <t>N.°</t>
        </is>
      </c>
      <c r="C13" s="32" t="inlineStr">
        <is>
          <t>Ambiente</t>
        </is>
      </c>
      <c r="D13" s="32" t="inlineStr">
        <is>
          <t>Uso (EM.010)</t>
        </is>
      </c>
      <c r="E13" s="32" t="inlineStr">
        <is>
          <t>Tipo de interior, tarea o actividad</t>
        </is>
      </c>
      <c r="F13" s="32" t="inlineStr">
        <is>
          <t>Em norma (lx)</t>
        </is>
      </c>
      <c r="G13" s="32" t="inlineStr">
        <is>
          <t>Largo a (m)</t>
        </is>
      </c>
      <c r="H13" s="32" t="inlineStr">
        <is>
          <t>Ancho b (m)</t>
        </is>
      </c>
      <c r="I13" s="32" t="inlineStr">
        <is>
          <t>Altura H (m)</t>
        </is>
      </c>
      <c r="J13" s="32" t="inlineStr">
        <is>
          <t>Plano de trabajo (m) (opcional)</t>
        </is>
      </c>
      <c r="K13" s="32" t="inlineStr">
        <is>
          <t>Luminaria</t>
        </is>
      </c>
      <c r="L13" s="32" t="inlineStr">
        <is>
          <t>K</t>
        </is>
      </c>
      <c r="M13" s="32" t="inlineStr">
        <is>
          <t>CU</t>
        </is>
      </c>
      <c r="N13" s="32" t="inlineStr">
        <is>
          <t>N calc.</t>
        </is>
      </c>
      <c r="O13" s="32" t="inlineStr">
        <is>
          <t>N propuesto (opcional)</t>
        </is>
      </c>
      <c r="P13" s="32" t="inlineStr">
        <is>
          <t>N adoptado</t>
        </is>
      </c>
      <c r="Q13" s="32" t="inlineStr">
        <is>
          <t>Em obtenida (lx)</t>
        </is>
      </c>
      <c r="R13" s="32" t="inlineStr">
        <is>
          <t>Potencia (W)</t>
        </is>
      </c>
      <c r="S13" s="32" t="inlineStr">
        <is>
          <t>W/m²</t>
        </is>
      </c>
      <c r="T13" s="32" t="inlineStr">
        <is>
          <t>Estado</t>
        </is>
      </c>
    </row>
    <row r="14" ht="24" customHeight="1">
      <c r="B14" s="46" t="n">
        <v>1</v>
      </c>
      <c r="C14" s="57" t="inlineStr">
        <is>
          <t>Sala-comedor</t>
        </is>
      </c>
      <c r="D14" s="57" t="inlineStr">
        <is>
          <t>1. Vivienda</t>
        </is>
      </c>
      <c r="E14" s="57" t="inlineStr">
        <is>
          <t>Sala, sala de estar</t>
        </is>
      </c>
      <c r="F14" s="36">
        <f>IF(C14="","",IF(W14=0,"Elija el tipo",INDEX(EM_E,W14)))</f>
        <v/>
      </c>
      <c r="G14" s="29" t="n">
        <v>6</v>
      </c>
      <c r="H14" s="29" t="n">
        <v>4</v>
      </c>
      <c r="I14" s="29" t="n">
        <v>2.6</v>
      </c>
      <c r="J14" s="29" t="n"/>
      <c r="K14" s="57" t="inlineStr">
        <is>
          <t>Plafón LED 24 W</t>
        </is>
      </c>
      <c r="L14" s="47">
        <f>IF(X14=1,Y14,"")</f>
        <v/>
      </c>
      <c r="M14" s="47">
        <f>IF(X14=1,AF14,"")</f>
        <v/>
      </c>
      <c r="N14" s="47">
        <f>IF(X14=1,F14*G14*H14/(INDEX(LUM_FLU,Z14)*M14*$F$11),"")</f>
        <v/>
      </c>
      <c r="O14" s="53" t="n"/>
      <c r="P14" s="36">
        <f>IF(X14=1,IF(N(O14)&gt;0,ROUND(O14,0),MAX(1,ROUNDUP(N14,0))),"")</f>
        <v/>
      </c>
      <c r="Q14" s="36">
        <f>IF(X14=1,P14*INDEX(LUM_FLU,Z14)*M14*$F$11/(G14*H14),"")</f>
        <v/>
      </c>
      <c r="R14" s="58">
        <f>IF(X14=1,P14*INDEX(LUM_W,Z14),"")</f>
        <v/>
      </c>
      <c r="S14" s="34">
        <f>IF(X14=1,R14/(G14*H14),"")</f>
        <v/>
      </c>
      <c r="T14" s="42">
        <f>IF(C14="","",IF(X14=0,"REVISAR datos",IF(Q14&gt;=F14,IF(Y14&lt;0.3,"AVISO: K &lt; 0.3","CUMPLE"),"NO CUMPLE")))</f>
        <v/>
      </c>
      <c r="W14" s="18">
        <f>IFERROR(MATCH(D14&amp;"|"&amp;E14,EM_KEY,0),0)</f>
        <v/>
      </c>
      <c r="X14" s="18">
        <f>IF(AND(C14&lt;&gt;"",ISNUMBER(F14),N(G14)&gt;0,N(H14)&gt;0,N(I14)&gt;AH14,K14&lt;&gt;""),1,0)</f>
        <v/>
      </c>
      <c r="Y14" s="54">
        <f>IF(X14=1,G14*H14/((I14-AH14)*(G14+H14)),0)</f>
        <v/>
      </c>
      <c r="Z14" s="18">
        <f>IF(X14=1,MATCH(K14,LUM_NOM,0),1)</f>
        <v/>
      </c>
      <c r="AA14" s="54">
        <f>MIN(5,MAX(0.3,Y14))</f>
        <v/>
      </c>
      <c r="AB14" s="18">
        <f>MATCH(AA14,CU_K,1)</f>
        <v/>
      </c>
      <c r="AC14" s="18">
        <f>(INDEX(LUM_DIS,Z14)-1)*10+MATCH($F$10,REFL_NOM,0)</f>
        <v/>
      </c>
      <c r="AD14" s="54">
        <f>INDEX(CU_TAB,AC14,AB14)</f>
        <v/>
      </c>
      <c r="AE14" s="54">
        <f>INDEX(CU_TAB,AC14,MIN(AB14+1,13))</f>
        <v/>
      </c>
      <c r="AF14" s="54">
        <f>IF(AB14&gt;=13,AD14,AD14+(AE14-AD14)*(AA14-INDEX(CU_K,AB14))/(INDEX(CU_K,AB14+1)-INDEX(CU_K,AB14)))</f>
        <v/>
      </c>
      <c r="AG14" s="18" t="n"/>
      <c r="AH14" s="51">
        <f>IF(ISNUMBER(J14),J14,$F$9)</f>
        <v/>
      </c>
    </row>
    <row r="15" ht="24" customHeight="1">
      <c r="B15" s="46" t="n">
        <v>2</v>
      </c>
      <c r="C15" s="57" t="inlineStr">
        <is>
          <t>Cocina</t>
        </is>
      </c>
      <c r="D15" s="57" t="inlineStr">
        <is>
          <t>1. Vivienda</t>
        </is>
      </c>
      <c r="E15" s="57" t="inlineStr">
        <is>
          <t>Cocina</t>
        </is>
      </c>
      <c r="F15" s="36">
        <f>IF(C15="","",IF(W15=0,"Elija el tipo",INDEX(EM_E,W15)))</f>
        <v/>
      </c>
      <c r="G15" s="29" t="n">
        <v>3.5</v>
      </c>
      <c r="H15" s="29" t="n">
        <v>2.8</v>
      </c>
      <c r="I15" s="29" t="n">
        <v>2.6</v>
      </c>
      <c r="J15" s="29" t="n"/>
      <c r="K15" s="57" t="inlineStr">
        <is>
          <t>Plafón LED 24 W</t>
        </is>
      </c>
      <c r="L15" s="47">
        <f>IF(X15=1,Y15,"")</f>
        <v/>
      </c>
      <c r="M15" s="47">
        <f>IF(X15=1,AF15,"")</f>
        <v/>
      </c>
      <c r="N15" s="47">
        <f>IF(X15=1,F15*G15*H15/(INDEX(LUM_FLU,Z15)*M15*$F$11),"")</f>
        <v/>
      </c>
      <c r="O15" s="53" t="n"/>
      <c r="P15" s="36">
        <f>IF(X15=1,IF(N(O15)&gt;0,ROUND(O15,0),MAX(1,ROUNDUP(N15,0))),"")</f>
        <v/>
      </c>
      <c r="Q15" s="36">
        <f>IF(X15=1,P15*INDEX(LUM_FLU,Z15)*M15*$F$11/(G15*H15),"")</f>
        <v/>
      </c>
      <c r="R15" s="58">
        <f>IF(X15=1,P15*INDEX(LUM_W,Z15),"")</f>
        <v/>
      </c>
      <c r="S15" s="34">
        <f>IF(X15=1,R15/(G15*H15),"")</f>
        <v/>
      </c>
      <c r="T15" s="42">
        <f>IF(C15="","",IF(X15=0,"REVISAR datos",IF(Q15&gt;=F15,IF(Y15&lt;0.3,"AVISO: K &lt; 0.3","CUMPLE"),"NO CUMPLE")))</f>
        <v/>
      </c>
      <c r="W15" s="18">
        <f>IFERROR(MATCH(D15&amp;"|"&amp;E15,EM_KEY,0),0)</f>
        <v/>
      </c>
      <c r="X15" s="18">
        <f>IF(AND(C15&lt;&gt;"",ISNUMBER(F15),N(G15)&gt;0,N(H15)&gt;0,N(I15)&gt;AH15,K15&lt;&gt;""),1,0)</f>
        <v/>
      </c>
      <c r="Y15" s="54">
        <f>IF(X15=1,G15*H15/((I15-AH15)*(G15+H15)),0)</f>
        <v/>
      </c>
      <c r="Z15" s="18">
        <f>IF(X15=1,MATCH(K15,LUM_NOM,0),1)</f>
        <v/>
      </c>
      <c r="AA15" s="54">
        <f>MIN(5,MAX(0.3,Y15))</f>
        <v/>
      </c>
      <c r="AB15" s="18">
        <f>MATCH(AA15,CU_K,1)</f>
        <v/>
      </c>
      <c r="AC15" s="18">
        <f>(INDEX(LUM_DIS,Z15)-1)*10+MATCH($F$10,REFL_NOM,0)</f>
        <v/>
      </c>
      <c r="AD15" s="54">
        <f>INDEX(CU_TAB,AC15,AB15)</f>
        <v/>
      </c>
      <c r="AE15" s="54">
        <f>INDEX(CU_TAB,AC15,MIN(AB15+1,13))</f>
        <v/>
      </c>
      <c r="AF15" s="54">
        <f>IF(AB15&gt;=13,AD15,AD15+(AE15-AD15)*(AA15-INDEX(CU_K,AB15))/(INDEX(CU_K,AB15+1)-INDEX(CU_K,AB15)))</f>
        <v/>
      </c>
      <c r="AG15" s="18" t="n"/>
      <c r="AH15" s="51">
        <f>IF(ISNUMBER(J15),J15,$F$9)</f>
        <v/>
      </c>
    </row>
    <row r="16" ht="24" customHeight="1">
      <c r="B16" s="46" t="n">
        <v>3</v>
      </c>
      <c r="C16" s="57" t="inlineStr">
        <is>
          <t>Dormitorio principal</t>
        </is>
      </c>
      <c r="D16" s="57" t="inlineStr">
        <is>
          <t>1. Vivienda</t>
        </is>
      </c>
      <c r="E16" s="57" t="inlineStr">
        <is>
          <t>Dormitorio</t>
        </is>
      </c>
      <c r="F16" s="36">
        <f>IF(C16="","",IF(W16=0,"Elija el tipo",INDEX(EM_E,W16)))</f>
        <v/>
      </c>
      <c r="G16" s="29" t="n">
        <v>4</v>
      </c>
      <c r="H16" s="29" t="n">
        <v>3.5</v>
      </c>
      <c r="I16" s="29" t="n">
        <v>2.6</v>
      </c>
      <c r="J16" s="29" t="n"/>
      <c r="K16" s="57" t="inlineStr">
        <is>
          <t>Plafón LED 18 W</t>
        </is>
      </c>
      <c r="L16" s="47">
        <f>IF(X16=1,Y16,"")</f>
        <v/>
      </c>
      <c r="M16" s="47">
        <f>IF(X16=1,AF16,"")</f>
        <v/>
      </c>
      <c r="N16" s="47">
        <f>IF(X16=1,F16*G16*H16/(INDEX(LUM_FLU,Z16)*M16*$F$11),"")</f>
        <v/>
      </c>
      <c r="O16" s="53" t="n"/>
      <c r="P16" s="36">
        <f>IF(X16=1,IF(N(O16)&gt;0,ROUND(O16,0),MAX(1,ROUNDUP(N16,0))),"")</f>
        <v/>
      </c>
      <c r="Q16" s="36">
        <f>IF(X16=1,P16*INDEX(LUM_FLU,Z16)*M16*$F$11/(G16*H16),"")</f>
        <v/>
      </c>
      <c r="R16" s="58">
        <f>IF(X16=1,P16*INDEX(LUM_W,Z16),"")</f>
        <v/>
      </c>
      <c r="S16" s="34">
        <f>IF(X16=1,R16/(G16*H16),"")</f>
        <v/>
      </c>
      <c r="T16" s="42">
        <f>IF(C16="","",IF(X16=0,"REVISAR datos",IF(Q16&gt;=F16,IF(Y16&lt;0.3,"AVISO: K &lt; 0.3","CUMPLE"),"NO CUMPLE")))</f>
        <v/>
      </c>
      <c r="W16" s="18">
        <f>IFERROR(MATCH(D16&amp;"|"&amp;E16,EM_KEY,0),0)</f>
        <v/>
      </c>
      <c r="X16" s="18">
        <f>IF(AND(C16&lt;&gt;"",ISNUMBER(F16),N(G16)&gt;0,N(H16)&gt;0,N(I16)&gt;AH16,K16&lt;&gt;""),1,0)</f>
        <v/>
      </c>
      <c r="Y16" s="54">
        <f>IF(X16=1,G16*H16/((I16-AH16)*(G16+H16)),0)</f>
        <v/>
      </c>
      <c r="Z16" s="18">
        <f>IF(X16=1,MATCH(K16,LUM_NOM,0),1)</f>
        <v/>
      </c>
      <c r="AA16" s="54">
        <f>MIN(5,MAX(0.3,Y16))</f>
        <v/>
      </c>
      <c r="AB16" s="18">
        <f>MATCH(AA16,CU_K,1)</f>
        <v/>
      </c>
      <c r="AC16" s="18">
        <f>(INDEX(LUM_DIS,Z16)-1)*10+MATCH($F$10,REFL_NOM,0)</f>
        <v/>
      </c>
      <c r="AD16" s="54">
        <f>INDEX(CU_TAB,AC16,AB16)</f>
        <v/>
      </c>
      <c r="AE16" s="54">
        <f>INDEX(CU_TAB,AC16,MIN(AB16+1,13))</f>
        <v/>
      </c>
      <c r="AF16" s="54">
        <f>IF(AB16&gt;=13,AD16,AD16+(AE16-AD16)*(AA16-INDEX(CU_K,AB16))/(INDEX(CU_K,AB16+1)-INDEX(CU_K,AB16)))</f>
        <v/>
      </c>
      <c r="AG16" s="18" t="n"/>
      <c r="AH16" s="51">
        <f>IF(ISNUMBER(J16),J16,$F$9)</f>
        <v/>
      </c>
    </row>
    <row r="17" ht="24" customHeight="1">
      <c r="B17" s="46" t="n">
        <v>4</v>
      </c>
      <c r="C17" s="57" t="inlineStr">
        <is>
          <t>Baño</t>
        </is>
      </c>
      <c r="D17" s="57" t="inlineStr">
        <is>
          <t>1. Vivienda</t>
        </is>
      </c>
      <c r="E17" s="57" t="inlineStr">
        <is>
          <t>Baño</t>
        </is>
      </c>
      <c r="F17" s="36">
        <f>IF(C17="","",IF(W17=0,"Elija el tipo",INDEX(EM_E,W17)))</f>
        <v/>
      </c>
      <c r="G17" s="29" t="n">
        <v>2.4</v>
      </c>
      <c r="H17" s="29" t="n">
        <v>1.8</v>
      </c>
      <c r="I17" s="29" t="n">
        <v>2.6</v>
      </c>
      <c r="J17" s="29" t="n">
        <v>0</v>
      </c>
      <c r="K17" s="57" t="inlineStr">
        <is>
          <t>Plafón LED 18 W</t>
        </is>
      </c>
      <c r="L17" s="47">
        <f>IF(X17=1,Y17,"")</f>
        <v/>
      </c>
      <c r="M17" s="47">
        <f>IF(X17=1,AF17,"")</f>
        <v/>
      </c>
      <c r="N17" s="47">
        <f>IF(X17=1,F17*G17*H17/(INDEX(LUM_FLU,Z17)*M17*$F$11),"")</f>
        <v/>
      </c>
      <c r="O17" s="53" t="n"/>
      <c r="P17" s="36">
        <f>IF(X17=1,IF(N(O17)&gt;0,ROUND(O17,0),MAX(1,ROUNDUP(N17,0))),"")</f>
        <v/>
      </c>
      <c r="Q17" s="36">
        <f>IF(X17=1,P17*INDEX(LUM_FLU,Z17)*M17*$F$11/(G17*H17),"")</f>
        <v/>
      </c>
      <c r="R17" s="58">
        <f>IF(X17=1,P17*INDEX(LUM_W,Z17),"")</f>
        <v/>
      </c>
      <c r="S17" s="34">
        <f>IF(X17=1,R17/(G17*H17),"")</f>
        <v/>
      </c>
      <c r="T17" s="42">
        <f>IF(C17="","",IF(X17=0,"REVISAR datos",IF(Q17&gt;=F17,IF(Y17&lt;0.3,"AVISO: K &lt; 0.3","CUMPLE"),"NO CUMPLE")))</f>
        <v/>
      </c>
      <c r="W17" s="18">
        <f>IFERROR(MATCH(D17&amp;"|"&amp;E17,EM_KEY,0),0)</f>
        <v/>
      </c>
      <c r="X17" s="18">
        <f>IF(AND(C17&lt;&gt;"",ISNUMBER(F17),N(G17)&gt;0,N(H17)&gt;0,N(I17)&gt;AH17,K17&lt;&gt;""),1,0)</f>
        <v/>
      </c>
      <c r="Y17" s="54">
        <f>IF(X17=1,G17*H17/((I17-AH17)*(G17+H17)),0)</f>
        <v/>
      </c>
      <c r="Z17" s="18">
        <f>IF(X17=1,MATCH(K17,LUM_NOM,0),1)</f>
        <v/>
      </c>
      <c r="AA17" s="54">
        <f>MIN(5,MAX(0.3,Y17))</f>
        <v/>
      </c>
      <c r="AB17" s="18">
        <f>MATCH(AA17,CU_K,1)</f>
        <v/>
      </c>
      <c r="AC17" s="18">
        <f>(INDEX(LUM_DIS,Z17)-1)*10+MATCH($F$10,REFL_NOM,0)</f>
        <v/>
      </c>
      <c r="AD17" s="54">
        <f>INDEX(CU_TAB,AC17,AB17)</f>
        <v/>
      </c>
      <c r="AE17" s="54">
        <f>INDEX(CU_TAB,AC17,MIN(AB17+1,13))</f>
        <v/>
      </c>
      <c r="AF17" s="54">
        <f>IF(AB17&gt;=13,AD17,AD17+(AE17-AD17)*(AA17-INDEX(CU_K,AB17))/(INDEX(CU_K,AB17+1)-INDEX(CU_K,AB17)))</f>
        <v/>
      </c>
      <c r="AG17" s="18" t="n"/>
      <c r="AH17" s="51">
        <f>IF(ISNUMBER(J17),J17,$F$9)</f>
        <v/>
      </c>
    </row>
    <row r="18" ht="24" customHeight="1">
      <c r="B18" s="46" t="n">
        <v>5</v>
      </c>
      <c r="C18" s="57" t="inlineStr">
        <is>
          <t>Estudio</t>
        </is>
      </c>
      <c r="D18" s="57" t="inlineStr">
        <is>
          <t>1. Vivienda</t>
        </is>
      </c>
      <c r="E18" s="57" t="inlineStr">
        <is>
          <t>Estudios, almacenes, depósitos, walking closet, cuartos de trabajo doméstico (planchado, lavandería y similares)</t>
        </is>
      </c>
      <c r="F18" s="36">
        <f>IF(C18="","",IF(W18=0,"Elija el tipo",INDEX(EM_E,W18)))</f>
        <v/>
      </c>
      <c r="G18" s="29" t="n">
        <v>3</v>
      </c>
      <c r="H18" s="29" t="n">
        <v>2.8</v>
      </c>
      <c r="I18" s="29" t="n">
        <v>2.6</v>
      </c>
      <c r="J18" s="29" t="n"/>
      <c r="K18" s="57" t="inlineStr">
        <is>
          <t>Panel LED 60×60 cm, 40 W</t>
        </is>
      </c>
      <c r="L18" s="47">
        <f>IF(X18=1,Y18,"")</f>
        <v/>
      </c>
      <c r="M18" s="47">
        <f>IF(X18=1,AF18,"")</f>
        <v/>
      </c>
      <c r="N18" s="47">
        <f>IF(X18=1,F18*G18*H18/(INDEX(LUM_FLU,Z18)*M18*$F$11),"")</f>
        <v/>
      </c>
      <c r="O18" s="53" t="n"/>
      <c r="P18" s="36">
        <f>IF(X18=1,IF(N(O18)&gt;0,ROUND(O18,0),MAX(1,ROUNDUP(N18,0))),"")</f>
        <v/>
      </c>
      <c r="Q18" s="36">
        <f>IF(X18=1,P18*INDEX(LUM_FLU,Z18)*M18*$F$11/(G18*H18),"")</f>
        <v/>
      </c>
      <c r="R18" s="58">
        <f>IF(X18=1,P18*INDEX(LUM_W,Z18),"")</f>
        <v/>
      </c>
      <c r="S18" s="34">
        <f>IF(X18=1,R18/(G18*H18),"")</f>
        <v/>
      </c>
      <c r="T18" s="42">
        <f>IF(C18="","",IF(X18=0,"REVISAR datos",IF(Q18&gt;=F18,IF(Y18&lt;0.3,"AVISO: K &lt; 0.3","CUMPLE"),"NO CUMPLE")))</f>
        <v/>
      </c>
      <c r="W18" s="18">
        <f>IFERROR(MATCH(D18&amp;"|"&amp;E18,EM_KEY,0),0)</f>
        <v/>
      </c>
      <c r="X18" s="18">
        <f>IF(AND(C18&lt;&gt;"",ISNUMBER(F18),N(G18)&gt;0,N(H18)&gt;0,N(I18)&gt;AH18,K18&lt;&gt;""),1,0)</f>
        <v/>
      </c>
      <c r="Y18" s="54">
        <f>IF(X18=1,G18*H18/((I18-AH18)*(G18+H18)),0)</f>
        <v/>
      </c>
      <c r="Z18" s="18">
        <f>IF(X18=1,MATCH(K18,LUM_NOM,0),1)</f>
        <v/>
      </c>
      <c r="AA18" s="54">
        <f>MIN(5,MAX(0.3,Y18))</f>
        <v/>
      </c>
      <c r="AB18" s="18">
        <f>MATCH(AA18,CU_K,1)</f>
        <v/>
      </c>
      <c r="AC18" s="18">
        <f>(INDEX(LUM_DIS,Z18)-1)*10+MATCH($F$10,REFL_NOM,0)</f>
        <v/>
      </c>
      <c r="AD18" s="54">
        <f>INDEX(CU_TAB,AC18,AB18)</f>
        <v/>
      </c>
      <c r="AE18" s="54">
        <f>INDEX(CU_TAB,AC18,MIN(AB18+1,13))</f>
        <v/>
      </c>
      <c r="AF18" s="54">
        <f>IF(AB18&gt;=13,AD18,AD18+(AE18-AD18)*(AA18-INDEX(CU_K,AB18))/(INDEX(CU_K,AB18+1)-INDEX(CU_K,AB18)))</f>
        <v/>
      </c>
      <c r="AG18" s="18" t="n"/>
      <c r="AH18" s="51">
        <f>IF(ISNUMBER(J18),J18,$F$9)</f>
        <v/>
      </c>
    </row>
    <row r="19" ht="24" customHeight="1">
      <c r="B19" s="46" t="n">
        <v>6</v>
      </c>
      <c r="C19" s="57" t="inlineStr">
        <is>
          <t>Escalera común</t>
        </is>
      </c>
      <c r="D19" s="57" t="inlineStr">
        <is>
          <t>1. Vivienda</t>
        </is>
      </c>
      <c r="E19" s="57" t="inlineStr">
        <is>
          <t>Escaleras, escaleras mecánicas y transportadores (de personas)</t>
        </is>
      </c>
      <c r="F19" s="36">
        <f>IF(C19="","",IF(W19=0,"Elija el tipo",INDEX(EM_E,W19)))</f>
        <v/>
      </c>
      <c r="G19" s="29" t="n">
        <v>5</v>
      </c>
      <c r="H19" s="29" t="n">
        <v>2.4</v>
      </c>
      <c r="I19" s="29" t="n">
        <v>2.6</v>
      </c>
      <c r="J19" s="29" t="n">
        <v>0</v>
      </c>
      <c r="K19" s="57" t="inlineStr">
        <is>
          <t>Plafón LED 18 W</t>
        </is>
      </c>
      <c r="L19" s="47">
        <f>IF(X19=1,Y19,"")</f>
        <v/>
      </c>
      <c r="M19" s="47">
        <f>IF(X19=1,AF19,"")</f>
        <v/>
      </c>
      <c r="N19" s="47">
        <f>IF(X19=1,F19*G19*H19/(INDEX(LUM_FLU,Z19)*M19*$F$11),"")</f>
        <v/>
      </c>
      <c r="O19" s="53" t="n"/>
      <c r="P19" s="36">
        <f>IF(X19=1,IF(N(O19)&gt;0,ROUND(O19,0),MAX(1,ROUNDUP(N19,0))),"")</f>
        <v/>
      </c>
      <c r="Q19" s="36">
        <f>IF(X19=1,P19*INDEX(LUM_FLU,Z19)*M19*$F$11/(G19*H19),"")</f>
        <v/>
      </c>
      <c r="R19" s="58">
        <f>IF(X19=1,P19*INDEX(LUM_W,Z19),"")</f>
        <v/>
      </c>
      <c r="S19" s="34">
        <f>IF(X19=1,R19/(G19*H19),"")</f>
        <v/>
      </c>
      <c r="T19" s="42">
        <f>IF(C19="","",IF(X19=0,"REVISAR datos",IF(Q19&gt;=F19,IF(Y19&lt;0.3,"AVISO: K &lt; 0.3","CUMPLE"),"NO CUMPLE")))</f>
        <v/>
      </c>
      <c r="W19" s="18">
        <f>IFERROR(MATCH(D19&amp;"|"&amp;E19,EM_KEY,0),0)</f>
        <v/>
      </c>
      <c r="X19" s="18">
        <f>IF(AND(C19&lt;&gt;"",ISNUMBER(F19),N(G19)&gt;0,N(H19)&gt;0,N(I19)&gt;AH19,K19&lt;&gt;""),1,0)</f>
        <v/>
      </c>
      <c r="Y19" s="54">
        <f>IF(X19=1,G19*H19/((I19-AH19)*(G19+H19)),0)</f>
        <v/>
      </c>
      <c r="Z19" s="18">
        <f>IF(X19=1,MATCH(K19,LUM_NOM,0),1)</f>
        <v/>
      </c>
      <c r="AA19" s="54">
        <f>MIN(5,MAX(0.3,Y19))</f>
        <v/>
      </c>
      <c r="AB19" s="18">
        <f>MATCH(AA19,CU_K,1)</f>
        <v/>
      </c>
      <c r="AC19" s="18">
        <f>(INDEX(LUM_DIS,Z19)-1)*10+MATCH($F$10,REFL_NOM,0)</f>
        <v/>
      </c>
      <c r="AD19" s="54">
        <f>INDEX(CU_TAB,AC19,AB19)</f>
        <v/>
      </c>
      <c r="AE19" s="54">
        <f>INDEX(CU_TAB,AC19,MIN(AB19+1,13))</f>
        <v/>
      </c>
      <c r="AF19" s="54">
        <f>IF(AB19&gt;=13,AD19,AD19+(AE19-AD19)*(AA19-INDEX(CU_K,AB19))/(INDEX(CU_K,AB19+1)-INDEX(CU_K,AB19)))</f>
        <v/>
      </c>
      <c r="AG19" s="18" t="n"/>
      <c r="AH19" s="51">
        <f>IF(ISNUMBER(J19),J19,$F$9)</f>
        <v/>
      </c>
    </row>
    <row r="20" ht="24" customHeight="1">
      <c r="B20" s="46" t="n">
        <v>7</v>
      </c>
      <c r="C20" s="57" t="inlineStr">
        <is>
          <t>Pasillo común</t>
        </is>
      </c>
      <c r="D20" s="57" t="inlineStr">
        <is>
          <t>1. Vivienda</t>
        </is>
      </c>
      <c r="E20" s="57" t="inlineStr">
        <is>
          <t>Áreas de circulación y pasillos</t>
        </is>
      </c>
      <c r="F20" s="36">
        <f>IF(C20="","",IF(W20=0,"Elija el tipo",INDEX(EM_E,W20)))</f>
        <v/>
      </c>
      <c r="G20" s="29" t="n">
        <v>8</v>
      </c>
      <c r="H20" s="29" t="n">
        <v>1.5</v>
      </c>
      <c r="I20" s="29" t="n">
        <v>2.6</v>
      </c>
      <c r="J20" s="29" t="n">
        <v>0</v>
      </c>
      <c r="K20" s="57" t="inlineStr">
        <is>
          <t>Plafón LED 18 W</t>
        </is>
      </c>
      <c r="L20" s="47">
        <f>IF(X20=1,Y20,"")</f>
        <v/>
      </c>
      <c r="M20" s="47">
        <f>IF(X20=1,AF20,"")</f>
        <v/>
      </c>
      <c r="N20" s="47">
        <f>IF(X20=1,F20*G20*H20/(INDEX(LUM_FLU,Z20)*M20*$F$11),"")</f>
        <v/>
      </c>
      <c r="O20" s="53" t="n"/>
      <c r="P20" s="36">
        <f>IF(X20=1,IF(N(O20)&gt;0,ROUND(O20,0),MAX(1,ROUNDUP(N20,0))),"")</f>
        <v/>
      </c>
      <c r="Q20" s="36">
        <f>IF(X20=1,P20*INDEX(LUM_FLU,Z20)*M20*$F$11/(G20*H20),"")</f>
        <v/>
      </c>
      <c r="R20" s="58">
        <f>IF(X20=1,P20*INDEX(LUM_W,Z20),"")</f>
        <v/>
      </c>
      <c r="S20" s="34">
        <f>IF(X20=1,R20/(G20*H20),"")</f>
        <v/>
      </c>
      <c r="T20" s="42">
        <f>IF(C20="","",IF(X20=0,"REVISAR datos",IF(Q20&gt;=F20,IF(Y20&lt;0.3,"AVISO: K &lt; 0.3","CUMPLE"),"NO CUMPLE")))</f>
        <v/>
      </c>
      <c r="W20" s="18">
        <f>IFERROR(MATCH(D20&amp;"|"&amp;E20,EM_KEY,0),0)</f>
        <v/>
      </c>
      <c r="X20" s="18">
        <f>IF(AND(C20&lt;&gt;"",ISNUMBER(F20),N(G20)&gt;0,N(H20)&gt;0,N(I20)&gt;AH20,K20&lt;&gt;""),1,0)</f>
        <v/>
      </c>
      <c r="Y20" s="54">
        <f>IF(X20=1,G20*H20/((I20-AH20)*(G20+H20)),0)</f>
        <v/>
      </c>
      <c r="Z20" s="18">
        <f>IF(X20=1,MATCH(K20,LUM_NOM,0),1)</f>
        <v/>
      </c>
      <c r="AA20" s="54">
        <f>MIN(5,MAX(0.3,Y20))</f>
        <v/>
      </c>
      <c r="AB20" s="18">
        <f>MATCH(AA20,CU_K,1)</f>
        <v/>
      </c>
      <c r="AC20" s="18">
        <f>(INDEX(LUM_DIS,Z20)-1)*10+MATCH($F$10,REFL_NOM,0)</f>
        <v/>
      </c>
      <c r="AD20" s="54">
        <f>INDEX(CU_TAB,AC20,AB20)</f>
        <v/>
      </c>
      <c r="AE20" s="54">
        <f>INDEX(CU_TAB,AC20,MIN(AB20+1,13))</f>
        <v/>
      </c>
      <c r="AF20" s="54">
        <f>IF(AB20&gt;=13,AD20,AD20+(AE20-AD20)*(AA20-INDEX(CU_K,AB20))/(INDEX(CU_K,AB20+1)-INDEX(CU_K,AB20)))</f>
        <v/>
      </c>
      <c r="AG20" s="18" t="n"/>
      <c r="AH20" s="51">
        <f>IF(ISNUMBER(J20),J20,$F$9)</f>
        <v/>
      </c>
    </row>
    <row r="21" ht="24" customHeight="1">
      <c r="B21" s="46" t="n">
        <v>8</v>
      </c>
      <c r="C21" s="57" t="inlineStr">
        <is>
          <t>Oficina administrativa</t>
        </is>
      </c>
      <c r="D21" s="57" t="inlineStr">
        <is>
          <t>6. Oficinas</t>
        </is>
      </c>
      <c r="E21" s="57" t="inlineStr">
        <is>
          <t>Escritura, mecanografía, lectura, procesamiento de datos</t>
        </is>
      </c>
      <c r="F21" s="36">
        <f>IF(C21="","",IF(W21=0,"Elija el tipo",INDEX(EM_E,W21)))</f>
        <v/>
      </c>
      <c r="G21" s="29" t="n">
        <v>6</v>
      </c>
      <c r="H21" s="29" t="n">
        <v>5</v>
      </c>
      <c r="I21" s="29" t="n">
        <v>2.8</v>
      </c>
      <c r="J21" s="29" t="n"/>
      <c r="K21" s="57" t="inlineStr">
        <is>
          <t>Panel LED 60×60 cm, 40 W</t>
        </is>
      </c>
      <c r="L21" s="47">
        <f>IF(X21=1,Y21,"")</f>
        <v/>
      </c>
      <c r="M21" s="47">
        <f>IF(X21=1,AF21,"")</f>
        <v/>
      </c>
      <c r="N21" s="47">
        <f>IF(X21=1,F21*G21*H21/(INDEX(LUM_FLU,Z21)*M21*$F$11),"")</f>
        <v/>
      </c>
      <c r="O21" s="53" t="n"/>
      <c r="P21" s="36">
        <f>IF(X21=1,IF(N(O21)&gt;0,ROUND(O21,0),MAX(1,ROUNDUP(N21,0))),"")</f>
        <v/>
      </c>
      <c r="Q21" s="36">
        <f>IF(X21=1,P21*INDEX(LUM_FLU,Z21)*M21*$F$11/(G21*H21),"")</f>
        <v/>
      </c>
      <c r="R21" s="58">
        <f>IF(X21=1,P21*INDEX(LUM_W,Z21),"")</f>
        <v/>
      </c>
      <c r="S21" s="34">
        <f>IF(X21=1,R21/(G21*H21),"")</f>
        <v/>
      </c>
      <c r="T21" s="42">
        <f>IF(C21="","",IF(X21=0,"REVISAR datos",IF(Q21&gt;=F21,IF(Y21&lt;0.3,"AVISO: K &lt; 0.3","CUMPLE"),"NO CUMPLE")))</f>
        <v/>
      </c>
      <c r="W21" s="18">
        <f>IFERROR(MATCH(D21&amp;"|"&amp;E21,EM_KEY,0),0)</f>
        <v/>
      </c>
      <c r="X21" s="18">
        <f>IF(AND(C21&lt;&gt;"",ISNUMBER(F21),N(G21)&gt;0,N(H21)&gt;0,N(I21)&gt;AH21,K21&lt;&gt;""),1,0)</f>
        <v/>
      </c>
      <c r="Y21" s="54">
        <f>IF(X21=1,G21*H21/((I21-AH21)*(G21+H21)),0)</f>
        <v/>
      </c>
      <c r="Z21" s="18">
        <f>IF(X21=1,MATCH(K21,LUM_NOM,0),1)</f>
        <v/>
      </c>
      <c r="AA21" s="54">
        <f>MIN(5,MAX(0.3,Y21))</f>
        <v/>
      </c>
      <c r="AB21" s="18">
        <f>MATCH(AA21,CU_K,1)</f>
        <v/>
      </c>
      <c r="AC21" s="18">
        <f>(INDEX(LUM_DIS,Z21)-1)*10+MATCH($F$10,REFL_NOM,0)</f>
        <v/>
      </c>
      <c r="AD21" s="54">
        <f>INDEX(CU_TAB,AC21,AB21)</f>
        <v/>
      </c>
      <c r="AE21" s="54">
        <f>INDEX(CU_TAB,AC21,MIN(AB21+1,13))</f>
        <v/>
      </c>
      <c r="AF21" s="54">
        <f>IF(AB21&gt;=13,AD21,AD21+(AE21-AD21)*(AA21-INDEX(CU_K,AB21))/(INDEX(CU_K,AB21+1)-INDEX(CU_K,AB21)))</f>
        <v/>
      </c>
      <c r="AG21" s="18" t="n"/>
      <c r="AH21" s="51">
        <f>IF(ISNUMBER(J21),J21,$F$9)</f>
        <v/>
      </c>
    </row>
    <row r="22" ht="24" customHeight="1">
      <c r="B22" s="46" t="n">
        <v>9</v>
      </c>
      <c r="C22" s="57" t="n"/>
      <c r="D22" s="57" t="n"/>
      <c r="E22" s="57" t="n"/>
      <c r="F22" s="36">
        <f>IF(C22="","",IF(W22=0,"Elija el tipo",INDEX(EM_E,W22)))</f>
        <v/>
      </c>
      <c r="G22" s="29" t="n"/>
      <c r="H22" s="29" t="n"/>
      <c r="I22" s="29" t="n"/>
      <c r="J22" s="29" t="n"/>
      <c r="K22" s="57" t="n"/>
      <c r="L22" s="47">
        <f>IF(X22=1,Y22,"")</f>
        <v/>
      </c>
      <c r="M22" s="47">
        <f>IF(X22=1,AF22,"")</f>
        <v/>
      </c>
      <c r="N22" s="47">
        <f>IF(X22=1,F22*G22*H22/(INDEX(LUM_FLU,Z22)*M22*$F$11),"")</f>
        <v/>
      </c>
      <c r="O22" s="53" t="n"/>
      <c r="P22" s="36">
        <f>IF(X22=1,IF(N(O22)&gt;0,ROUND(O22,0),MAX(1,ROUNDUP(N22,0))),"")</f>
        <v/>
      </c>
      <c r="Q22" s="36">
        <f>IF(X22=1,P22*INDEX(LUM_FLU,Z22)*M22*$F$11/(G22*H22),"")</f>
        <v/>
      </c>
      <c r="R22" s="58">
        <f>IF(X22=1,P22*INDEX(LUM_W,Z22),"")</f>
        <v/>
      </c>
      <c r="S22" s="34">
        <f>IF(X22=1,R22/(G22*H22),"")</f>
        <v/>
      </c>
      <c r="T22" s="42">
        <f>IF(C22="","",IF(X22=0,"REVISAR datos",IF(Q22&gt;=F22,IF(Y22&lt;0.3,"AVISO: K &lt; 0.3","CUMPLE"),"NO CUMPLE")))</f>
        <v/>
      </c>
      <c r="W22" s="18">
        <f>IFERROR(MATCH(D22&amp;"|"&amp;E22,EM_KEY,0),0)</f>
        <v/>
      </c>
      <c r="X22" s="18">
        <f>IF(AND(C22&lt;&gt;"",ISNUMBER(F22),N(G22)&gt;0,N(H22)&gt;0,N(I22)&gt;AH22,K22&lt;&gt;""),1,0)</f>
        <v/>
      </c>
      <c r="Y22" s="54">
        <f>IF(X22=1,G22*H22/((I22-AH22)*(G22+H22)),0)</f>
        <v/>
      </c>
      <c r="Z22" s="18">
        <f>IF(X22=1,MATCH(K22,LUM_NOM,0),1)</f>
        <v/>
      </c>
      <c r="AA22" s="54">
        <f>MIN(5,MAX(0.3,Y22))</f>
        <v/>
      </c>
      <c r="AB22" s="18">
        <f>MATCH(AA22,CU_K,1)</f>
        <v/>
      </c>
      <c r="AC22" s="18">
        <f>(INDEX(LUM_DIS,Z22)-1)*10+MATCH($F$10,REFL_NOM,0)</f>
        <v/>
      </c>
      <c r="AD22" s="54">
        <f>INDEX(CU_TAB,AC22,AB22)</f>
        <v/>
      </c>
      <c r="AE22" s="54">
        <f>INDEX(CU_TAB,AC22,MIN(AB22+1,13))</f>
        <v/>
      </c>
      <c r="AF22" s="54">
        <f>IF(AB22&gt;=13,AD22,AD22+(AE22-AD22)*(AA22-INDEX(CU_K,AB22))/(INDEX(CU_K,AB22+1)-INDEX(CU_K,AB22)))</f>
        <v/>
      </c>
      <c r="AG22" s="18" t="n"/>
      <c r="AH22" s="51">
        <f>IF(ISNUMBER(J22),J22,$F$9)</f>
        <v/>
      </c>
    </row>
    <row r="23" ht="24" customHeight="1">
      <c r="B23" s="46" t="n">
        <v>10</v>
      </c>
      <c r="C23" s="57" t="n"/>
      <c r="D23" s="57" t="n"/>
      <c r="E23" s="57" t="n"/>
      <c r="F23" s="36">
        <f>IF(C23="","",IF(W23=0,"Elija el tipo",INDEX(EM_E,W23)))</f>
        <v/>
      </c>
      <c r="G23" s="29" t="n"/>
      <c r="H23" s="29" t="n"/>
      <c r="I23" s="29" t="n"/>
      <c r="J23" s="29" t="n"/>
      <c r="K23" s="57" t="n"/>
      <c r="L23" s="47">
        <f>IF(X23=1,Y23,"")</f>
        <v/>
      </c>
      <c r="M23" s="47">
        <f>IF(X23=1,AF23,"")</f>
        <v/>
      </c>
      <c r="N23" s="47">
        <f>IF(X23=1,F23*G23*H23/(INDEX(LUM_FLU,Z23)*M23*$F$11),"")</f>
        <v/>
      </c>
      <c r="O23" s="53" t="n"/>
      <c r="P23" s="36">
        <f>IF(X23=1,IF(N(O23)&gt;0,ROUND(O23,0),MAX(1,ROUNDUP(N23,0))),"")</f>
        <v/>
      </c>
      <c r="Q23" s="36">
        <f>IF(X23=1,P23*INDEX(LUM_FLU,Z23)*M23*$F$11/(G23*H23),"")</f>
        <v/>
      </c>
      <c r="R23" s="58">
        <f>IF(X23=1,P23*INDEX(LUM_W,Z23),"")</f>
        <v/>
      </c>
      <c r="S23" s="34">
        <f>IF(X23=1,R23/(G23*H23),"")</f>
        <v/>
      </c>
      <c r="T23" s="42">
        <f>IF(C23="","",IF(X23=0,"REVISAR datos",IF(Q23&gt;=F23,IF(Y23&lt;0.3,"AVISO: K &lt; 0.3","CUMPLE"),"NO CUMPLE")))</f>
        <v/>
      </c>
      <c r="W23" s="18">
        <f>IFERROR(MATCH(D23&amp;"|"&amp;E23,EM_KEY,0),0)</f>
        <v/>
      </c>
      <c r="X23" s="18">
        <f>IF(AND(C23&lt;&gt;"",ISNUMBER(F23),N(G23)&gt;0,N(H23)&gt;0,N(I23)&gt;AH23,K23&lt;&gt;""),1,0)</f>
        <v/>
      </c>
      <c r="Y23" s="54">
        <f>IF(X23=1,G23*H23/((I23-AH23)*(G23+H23)),0)</f>
        <v/>
      </c>
      <c r="Z23" s="18">
        <f>IF(X23=1,MATCH(K23,LUM_NOM,0),1)</f>
        <v/>
      </c>
      <c r="AA23" s="54">
        <f>MIN(5,MAX(0.3,Y23))</f>
        <v/>
      </c>
      <c r="AB23" s="18">
        <f>MATCH(AA23,CU_K,1)</f>
        <v/>
      </c>
      <c r="AC23" s="18">
        <f>(INDEX(LUM_DIS,Z23)-1)*10+MATCH($F$10,REFL_NOM,0)</f>
        <v/>
      </c>
      <c r="AD23" s="54">
        <f>INDEX(CU_TAB,AC23,AB23)</f>
        <v/>
      </c>
      <c r="AE23" s="54">
        <f>INDEX(CU_TAB,AC23,MIN(AB23+1,13))</f>
        <v/>
      </c>
      <c r="AF23" s="54">
        <f>IF(AB23&gt;=13,AD23,AD23+(AE23-AD23)*(AA23-INDEX(CU_K,AB23))/(INDEX(CU_K,AB23+1)-INDEX(CU_K,AB23)))</f>
        <v/>
      </c>
      <c r="AG23" s="18" t="n"/>
      <c r="AH23" s="51">
        <f>IF(ISNUMBER(J23),J23,$F$9)</f>
        <v/>
      </c>
    </row>
    <row r="24" ht="24" customHeight="1">
      <c r="B24" s="46" t="n">
        <v>11</v>
      </c>
      <c r="C24" s="57" t="n"/>
      <c r="D24" s="57" t="n"/>
      <c r="E24" s="57" t="n"/>
      <c r="F24" s="36">
        <f>IF(C24="","",IF(W24=0,"Elija el tipo",INDEX(EM_E,W24)))</f>
        <v/>
      </c>
      <c r="G24" s="29" t="n"/>
      <c r="H24" s="29" t="n"/>
      <c r="I24" s="29" t="n"/>
      <c r="J24" s="29" t="n"/>
      <c r="K24" s="57" t="n"/>
      <c r="L24" s="47">
        <f>IF(X24=1,Y24,"")</f>
        <v/>
      </c>
      <c r="M24" s="47">
        <f>IF(X24=1,AF24,"")</f>
        <v/>
      </c>
      <c r="N24" s="47">
        <f>IF(X24=1,F24*G24*H24/(INDEX(LUM_FLU,Z24)*M24*$F$11),"")</f>
        <v/>
      </c>
      <c r="O24" s="53" t="n"/>
      <c r="P24" s="36">
        <f>IF(X24=1,IF(N(O24)&gt;0,ROUND(O24,0),MAX(1,ROUNDUP(N24,0))),"")</f>
        <v/>
      </c>
      <c r="Q24" s="36">
        <f>IF(X24=1,P24*INDEX(LUM_FLU,Z24)*M24*$F$11/(G24*H24),"")</f>
        <v/>
      </c>
      <c r="R24" s="58">
        <f>IF(X24=1,P24*INDEX(LUM_W,Z24),"")</f>
        <v/>
      </c>
      <c r="S24" s="34">
        <f>IF(X24=1,R24/(G24*H24),"")</f>
        <v/>
      </c>
      <c r="T24" s="42">
        <f>IF(C24="","",IF(X24=0,"REVISAR datos",IF(Q24&gt;=F24,IF(Y24&lt;0.3,"AVISO: K &lt; 0.3","CUMPLE"),"NO CUMPLE")))</f>
        <v/>
      </c>
      <c r="W24" s="18">
        <f>IFERROR(MATCH(D24&amp;"|"&amp;E24,EM_KEY,0),0)</f>
        <v/>
      </c>
      <c r="X24" s="18">
        <f>IF(AND(C24&lt;&gt;"",ISNUMBER(F24),N(G24)&gt;0,N(H24)&gt;0,N(I24)&gt;AH24,K24&lt;&gt;""),1,0)</f>
        <v/>
      </c>
      <c r="Y24" s="54">
        <f>IF(X24=1,G24*H24/((I24-AH24)*(G24+H24)),0)</f>
        <v/>
      </c>
      <c r="Z24" s="18">
        <f>IF(X24=1,MATCH(K24,LUM_NOM,0),1)</f>
        <v/>
      </c>
      <c r="AA24" s="54">
        <f>MIN(5,MAX(0.3,Y24))</f>
        <v/>
      </c>
      <c r="AB24" s="18">
        <f>MATCH(AA24,CU_K,1)</f>
        <v/>
      </c>
      <c r="AC24" s="18">
        <f>(INDEX(LUM_DIS,Z24)-1)*10+MATCH($F$10,REFL_NOM,0)</f>
        <v/>
      </c>
      <c r="AD24" s="54">
        <f>INDEX(CU_TAB,AC24,AB24)</f>
        <v/>
      </c>
      <c r="AE24" s="54">
        <f>INDEX(CU_TAB,AC24,MIN(AB24+1,13))</f>
        <v/>
      </c>
      <c r="AF24" s="54">
        <f>IF(AB24&gt;=13,AD24,AD24+(AE24-AD24)*(AA24-INDEX(CU_K,AB24))/(INDEX(CU_K,AB24+1)-INDEX(CU_K,AB24)))</f>
        <v/>
      </c>
      <c r="AG24" s="18" t="n"/>
      <c r="AH24" s="51">
        <f>IF(ISNUMBER(J24),J24,$F$9)</f>
        <v/>
      </c>
    </row>
    <row r="25" ht="24" customHeight="1">
      <c r="B25" s="46" t="n">
        <v>12</v>
      </c>
      <c r="C25" s="57" t="n"/>
      <c r="D25" s="57" t="n"/>
      <c r="E25" s="57" t="n"/>
      <c r="F25" s="36">
        <f>IF(C25="","",IF(W25=0,"Elija el tipo",INDEX(EM_E,W25)))</f>
        <v/>
      </c>
      <c r="G25" s="29" t="n"/>
      <c r="H25" s="29" t="n"/>
      <c r="I25" s="29" t="n"/>
      <c r="J25" s="29" t="n"/>
      <c r="K25" s="57" t="n"/>
      <c r="L25" s="47">
        <f>IF(X25=1,Y25,"")</f>
        <v/>
      </c>
      <c r="M25" s="47">
        <f>IF(X25=1,AF25,"")</f>
        <v/>
      </c>
      <c r="N25" s="47">
        <f>IF(X25=1,F25*G25*H25/(INDEX(LUM_FLU,Z25)*M25*$F$11),"")</f>
        <v/>
      </c>
      <c r="O25" s="53" t="n"/>
      <c r="P25" s="36">
        <f>IF(X25=1,IF(N(O25)&gt;0,ROUND(O25,0),MAX(1,ROUNDUP(N25,0))),"")</f>
        <v/>
      </c>
      <c r="Q25" s="36">
        <f>IF(X25=1,P25*INDEX(LUM_FLU,Z25)*M25*$F$11/(G25*H25),"")</f>
        <v/>
      </c>
      <c r="R25" s="58">
        <f>IF(X25=1,P25*INDEX(LUM_W,Z25),"")</f>
        <v/>
      </c>
      <c r="S25" s="34">
        <f>IF(X25=1,R25/(G25*H25),"")</f>
        <v/>
      </c>
      <c r="T25" s="42">
        <f>IF(C25="","",IF(X25=0,"REVISAR datos",IF(Q25&gt;=F25,IF(Y25&lt;0.3,"AVISO: K &lt; 0.3","CUMPLE"),"NO CUMPLE")))</f>
        <v/>
      </c>
      <c r="W25" s="18">
        <f>IFERROR(MATCH(D25&amp;"|"&amp;E25,EM_KEY,0),0)</f>
        <v/>
      </c>
      <c r="X25" s="18">
        <f>IF(AND(C25&lt;&gt;"",ISNUMBER(F25),N(G25)&gt;0,N(H25)&gt;0,N(I25)&gt;AH25,K25&lt;&gt;""),1,0)</f>
        <v/>
      </c>
      <c r="Y25" s="54">
        <f>IF(X25=1,G25*H25/((I25-AH25)*(G25+H25)),0)</f>
        <v/>
      </c>
      <c r="Z25" s="18">
        <f>IF(X25=1,MATCH(K25,LUM_NOM,0),1)</f>
        <v/>
      </c>
      <c r="AA25" s="54">
        <f>MIN(5,MAX(0.3,Y25))</f>
        <v/>
      </c>
      <c r="AB25" s="18">
        <f>MATCH(AA25,CU_K,1)</f>
        <v/>
      </c>
      <c r="AC25" s="18">
        <f>(INDEX(LUM_DIS,Z25)-1)*10+MATCH($F$10,REFL_NOM,0)</f>
        <v/>
      </c>
      <c r="AD25" s="54">
        <f>INDEX(CU_TAB,AC25,AB25)</f>
        <v/>
      </c>
      <c r="AE25" s="54">
        <f>INDEX(CU_TAB,AC25,MIN(AB25+1,13))</f>
        <v/>
      </c>
      <c r="AF25" s="54">
        <f>IF(AB25&gt;=13,AD25,AD25+(AE25-AD25)*(AA25-INDEX(CU_K,AB25))/(INDEX(CU_K,AB25+1)-INDEX(CU_K,AB25)))</f>
        <v/>
      </c>
      <c r="AG25" s="18" t="n"/>
      <c r="AH25" s="51">
        <f>IF(ISNUMBER(J25),J25,$F$9)</f>
        <v/>
      </c>
    </row>
    <row r="26" ht="24" customHeight="1">
      <c r="B26" s="46" t="n">
        <v>13</v>
      </c>
      <c r="C26" s="57" t="n"/>
      <c r="D26" s="57" t="n"/>
      <c r="E26" s="57" t="n"/>
      <c r="F26" s="36">
        <f>IF(C26="","",IF(W26=0,"Elija el tipo",INDEX(EM_E,W26)))</f>
        <v/>
      </c>
      <c r="G26" s="29" t="n"/>
      <c r="H26" s="29" t="n"/>
      <c r="I26" s="29" t="n"/>
      <c r="J26" s="29" t="n"/>
      <c r="K26" s="57" t="n"/>
      <c r="L26" s="47">
        <f>IF(X26=1,Y26,"")</f>
        <v/>
      </c>
      <c r="M26" s="47">
        <f>IF(X26=1,AF26,"")</f>
        <v/>
      </c>
      <c r="N26" s="47">
        <f>IF(X26=1,F26*G26*H26/(INDEX(LUM_FLU,Z26)*M26*$F$11),"")</f>
        <v/>
      </c>
      <c r="O26" s="53" t="n"/>
      <c r="P26" s="36">
        <f>IF(X26=1,IF(N(O26)&gt;0,ROUND(O26,0),MAX(1,ROUNDUP(N26,0))),"")</f>
        <v/>
      </c>
      <c r="Q26" s="36">
        <f>IF(X26=1,P26*INDEX(LUM_FLU,Z26)*M26*$F$11/(G26*H26),"")</f>
        <v/>
      </c>
      <c r="R26" s="58">
        <f>IF(X26=1,P26*INDEX(LUM_W,Z26),"")</f>
        <v/>
      </c>
      <c r="S26" s="34">
        <f>IF(X26=1,R26/(G26*H26),"")</f>
        <v/>
      </c>
      <c r="T26" s="42">
        <f>IF(C26="","",IF(X26=0,"REVISAR datos",IF(Q26&gt;=F26,IF(Y26&lt;0.3,"AVISO: K &lt; 0.3","CUMPLE"),"NO CUMPLE")))</f>
        <v/>
      </c>
      <c r="W26" s="18">
        <f>IFERROR(MATCH(D26&amp;"|"&amp;E26,EM_KEY,0),0)</f>
        <v/>
      </c>
      <c r="X26" s="18">
        <f>IF(AND(C26&lt;&gt;"",ISNUMBER(F26),N(G26)&gt;0,N(H26)&gt;0,N(I26)&gt;AH26,K26&lt;&gt;""),1,0)</f>
        <v/>
      </c>
      <c r="Y26" s="54">
        <f>IF(X26=1,G26*H26/((I26-AH26)*(G26+H26)),0)</f>
        <v/>
      </c>
      <c r="Z26" s="18">
        <f>IF(X26=1,MATCH(K26,LUM_NOM,0),1)</f>
        <v/>
      </c>
      <c r="AA26" s="54">
        <f>MIN(5,MAX(0.3,Y26))</f>
        <v/>
      </c>
      <c r="AB26" s="18">
        <f>MATCH(AA26,CU_K,1)</f>
        <v/>
      </c>
      <c r="AC26" s="18">
        <f>(INDEX(LUM_DIS,Z26)-1)*10+MATCH($F$10,REFL_NOM,0)</f>
        <v/>
      </c>
      <c r="AD26" s="54">
        <f>INDEX(CU_TAB,AC26,AB26)</f>
        <v/>
      </c>
      <c r="AE26" s="54">
        <f>INDEX(CU_TAB,AC26,MIN(AB26+1,13))</f>
        <v/>
      </c>
      <c r="AF26" s="54">
        <f>IF(AB26&gt;=13,AD26,AD26+(AE26-AD26)*(AA26-INDEX(CU_K,AB26))/(INDEX(CU_K,AB26+1)-INDEX(CU_K,AB26)))</f>
        <v/>
      </c>
      <c r="AG26" s="18" t="n"/>
      <c r="AH26" s="51">
        <f>IF(ISNUMBER(J26),J26,$F$9)</f>
        <v/>
      </c>
    </row>
    <row r="27" ht="24" customHeight="1">
      <c r="B27" s="46" t="n">
        <v>14</v>
      </c>
      <c r="C27" s="57" t="n"/>
      <c r="D27" s="57" t="n"/>
      <c r="E27" s="57" t="n"/>
      <c r="F27" s="36">
        <f>IF(C27="","",IF(W27=0,"Elija el tipo",INDEX(EM_E,W27)))</f>
        <v/>
      </c>
      <c r="G27" s="29" t="n"/>
      <c r="H27" s="29" t="n"/>
      <c r="I27" s="29" t="n"/>
      <c r="J27" s="29" t="n"/>
      <c r="K27" s="57" t="n"/>
      <c r="L27" s="47">
        <f>IF(X27=1,Y27,"")</f>
        <v/>
      </c>
      <c r="M27" s="47">
        <f>IF(X27=1,AF27,"")</f>
        <v/>
      </c>
      <c r="N27" s="47">
        <f>IF(X27=1,F27*G27*H27/(INDEX(LUM_FLU,Z27)*M27*$F$11),"")</f>
        <v/>
      </c>
      <c r="O27" s="53" t="n"/>
      <c r="P27" s="36">
        <f>IF(X27=1,IF(N(O27)&gt;0,ROUND(O27,0),MAX(1,ROUNDUP(N27,0))),"")</f>
        <v/>
      </c>
      <c r="Q27" s="36">
        <f>IF(X27=1,P27*INDEX(LUM_FLU,Z27)*M27*$F$11/(G27*H27),"")</f>
        <v/>
      </c>
      <c r="R27" s="58">
        <f>IF(X27=1,P27*INDEX(LUM_W,Z27),"")</f>
        <v/>
      </c>
      <c r="S27" s="34">
        <f>IF(X27=1,R27/(G27*H27),"")</f>
        <v/>
      </c>
      <c r="T27" s="42">
        <f>IF(C27="","",IF(X27=0,"REVISAR datos",IF(Q27&gt;=F27,IF(Y27&lt;0.3,"AVISO: K &lt; 0.3","CUMPLE"),"NO CUMPLE")))</f>
        <v/>
      </c>
      <c r="W27" s="18">
        <f>IFERROR(MATCH(D27&amp;"|"&amp;E27,EM_KEY,0),0)</f>
        <v/>
      </c>
      <c r="X27" s="18">
        <f>IF(AND(C27&lt;&gt;"",ISNUMBER(F27),N(G27)&gt;0,N(H27)&gt;0,N(I27)&gt;AH27,K27&lt;&gt;""),1,0)</f>
        <v/>
      </c>
      <c r="Y27" s="54">
        <f>IF(X27=1,G27*H27/((I27-AH27)*(G27+H27)),0)</f>
        <v/>
      </c>
      <c r="Z27" s="18">
        <f>IF(X27=1,MATCH(K27,LUM_NOM,0),1)</f>
        <v/>
      </c>
      <c r="AA27" s="54">
        <f>MIN(5,MAX(0.3,Y27))</f>
        <v/>
      </c>
      <c r="AB27" s="18">
        <f>MATCH(AA27,CU_K,1)</f>
        <v/>
      </c>
      <c r="AC27" s="18">
        <f>(INDEX(LUM_DIS,Z27)-1)*10+MATCH($F$10,REFL_NOM,0)</f>
        <v/>
      </c>
      <c r="AD27" s="54">
        <f>INDEX(CU_TAB,AC27,AB27)</f>
        <v/>
      </c>
      <c r="AE27" s="54">
        <f>INDEX(CU_TAB,AC27,MIN(AB27+1,13))</f>
        <v/>
      </c>
      <c r="AF27" s="54">
        <f>IF(AB27&gt;=13,AD27,AD27+(AE27-AD27)*(AA27-INDEX(CU_K,AB27))/(INDEX(CU_K,AB27+1)-INDEX(CU_K,AB27)))</f>
        <v/>
      </c>
      <c r="AG27" s="18" t="n"/>
      <c r="AH27" s="51">
        <f>IF(ISNUMBER(J27),J27,$F$9)</f>
        <v/>
      </c>
    </row>
    <row r="28" ht="24" customHeight="1">
      <c r="B28" s="46" t="n">
        <v>15</v>
      </c>
      <c r="C28" s="57" t="n"/>
      <c r="D28" s="57" t="n"/>
      <c r="E28" s="57" t="n"/>
      <c r="F28" s="36">
        <f>IF(C28="","",IF(W28=0,"Elija el tipo",INDEX(EM_E,W28)))</f>
        <v/>
      </c>
      <c r="G28" s="29" t="n"/>
      <c r="H28" s="29" t="n"/>
      <c r="I28" s="29" t="n"/>
      <c r="J28" s="29" t="n"/>
      <c r="K28" s="57" t="n"/>
      <c r="L28" s="47">
        <f>IF(X28=1,Y28,"")</f>
        <v/>
      </c>
      <c r="M28" s="47">
        <f>IF(X28=1,AF28,"")</f>
        <v/>
      </c>
      <c r="N28" s="47">
        <f>IF(X28=1,F28*G28*H28/(INDEX(LUM_FLU,Z28)*M28*$F$11),"")</f>
        <v/>
      </c>
      <c r="O28" s="53" t="n"/>
      <c r="P28" s="36">
        <f>IF(X28=1,IF(N(O28)&gt;0,ROUND(O28,0),MAX(1,ROUNDUP(N28,0))),"")</f>
        <v/>
      </c>
      <c r="Q28" s="36">
        <f>IF(X28=1,P28*INDEX(LUM_FLU,Z28)*M28*$F$11/(G28*H28),"")</f>
        <v/>
      </c>
      <c r="R28" s="58">
        <f>IF(X28=1,P28*INDEX(LUM_W,Z28),"")</f>
        <v/>
      </c>
      <c r="S28" s="34">
        <f>IF(X28=1,R28/(G28*H28),"")</f>
        <v/>
      </c>
      <c r="T28" s="42">
        <f>IF(C28="","",IF(X28=0,"REVISAR datos",IF(Q28&gt;=F28,IF(Y28&lt;0.3,"AVISO: K &lt; 0.3","CUMPLE"),"NO CUMPLE")))</f>
        <v/>
      </c>
      <c r="W28" s="18">
        <f>IFERROR(MATCH(D28&amp;"|"&amp;E28,EM_KEY,0),0)</f>
        <v/>
      </c>
      <c r="X28" s="18">
        <f>IF(AND(C28&lt;&gt;"",ISNUMBER(F28),N(G28)&gt;0,N(H28)&gt;0,N(I28)&gt;AH28,K28&lt;&gt;""),1,0)</f>
        <v/>
      </c>
      <c r="Y28" s="54">
        <f>IF(X28=1,G28*H28/((I28-AH28)*(G28+H28)),0)</f>
        <v/>
      </c>
      <c r="Z28" s="18">
        <f>IF(X28=1,MATCH(K28,LUM_NOM,0),1)</f>
        <v/>
      </c>
      <c r="AA28" s="54">
        <f>MIN(5,MAX(0.3,Y28))</f>
        <v/>
      </c>
      <c r="AB28" s="18">
        <f>MATCH(AA28,CU_K,1)</f>
        <v/>
      </c>
      <c r="AC28" s="18">
        <f>(INDEX(LUM_DIS,Z28)-1)*10+MATCH($F$10,REFL_NOM,0)</f>
        <v/>
      </c>
      <c r="AD28" s="54">
        <f>INDEX(CU_TAB,AC28,AB28)</f>
        <v/>
      </c>
      <c r="AE28" s="54">
        <f>INDEX(CU_TAB,AC28,MIN(AB28+1,13))</f>
        <v/>
      </c>
      <c r="AF28" s="54">
        <f>IF(AB28&gt;=13,AD28,AD28+(AE28-AD28)*(AA28-INDEX(CU_K,AB28))/(INDEX(CU_K,AB28+1)-INDEX(CU_K,AB28)))</f>
        <v/>
      </c>
      <c r="AG28" s="18" t="n"/>
      <c r="AH28" s="51">
        <f>IF(ISNUMBER(J28),J28,$F$9)</f>
        <v/>
      </c>
    </row>
    <row r="29" ht="24" customHeight="1">
      <c r="B29" s="46" t="n">
        <v>16</v>
      </c>
      <c r="C29" s="57" t="n"/>
      <c r="D29" s="57" t="n"/>
      <c r="E29" s="57" t="n"/>
      <c r="F29" s="36">
        <f>IF(C29="","",IF(W29=0,"Elija el tipo",INDEX(EM_E,W29)))</f>
        <v/>
      </c>
      <c r="G29" s="29" t="n"/>
      <c r="H29" s="29" t="n"/>
      <c r="I29" s="29" t="n"/>
      <c r="J29" s="29" t="n"/>
      <c r="K29" s="57" t="n"/>
      <c r="L29" s="47">
        <f>IF(X29=1,Y29,"")</f>
        <v/>
      </c>
      <c r="M29" s="47">
        <f>IF(X29=1,AF29,"")</f>
        <v/>
      </c>
      <c r="N29" s="47">
        <f>IF(X29=1,F29*G29*H29/(INDEX(LUM_FLU,Z29)*M29*$F$11),"")</f>
        <v/>
      </c>
      <c r="O29" s="53" t="n"/>
      <c r="P29" s="36">
        <f>IF(X29=1,IF(N(O29)&gt;0,ROUND(O29,0),MAX(1,ROUNDUP(N29,0))),"")</f>
        <v/>
      </c>
      <c r="Q29" s="36">
        <f>IF(X29=1,P29*INDEX(LUM_FLU,Z29)*M29*$F$11/(G29*H29),"")</f>
        <v/>
      </c>
      <c r="R29" s="58">
        <f>IF(X29=1,P29*INDEX(LUM_W,Z29),"")</f>
        <v/>
      </c>
      <c r="S29" s="34">
        <f>IF(X29=1,R29/(G29*H29),"")</f>
        <v/>
      </c>
      <c r="T29" s="42">
        <f>IF(C29="","",IF(X29=0,"REVISAR datos",IF(Q29&gt;=F29,IF(Y29&lt;0.3,"AVISO: K &lt; 0.3","CUMPLE"),"NO CUMPLE")))</f>
        <v/>
      </c>
      <c r="W29" s="18">
        <f>IFERROR(MATCH(D29&amp;"|"&amp;E29,EM_KEY,0),0)</f>
        <v/>
      </c>
      <c r="X29" s="18">
        <f>IF(AND(C29&lt;&gt;"",ISNUMBER(F29),N(G29)&gt;0,N(H29)&gt;0,N(I29)&gt;AH29,K29&lt;&gt;""),1,0)</f>
        <v/>
      </c>
      <c r="Y29" s="54">
        <f>IF(X29=1,G29*H29/((I29-AH29)*(G29+H29)),0)</f>
        <v/>
      </c>
      <c r="Z29" s="18">
        <f>IF(X29=1,MATCH(K29,LUM_NOM,0),1)</f>
        <v/>
      </c>
      <c r="AA29" s="54">
        <f>MIN(5,MAX(0.3,Y29))</f>
        <v/>
      </c>
      <c r="AB29" s="18">
        <f>MATCH(AA29,CU_K,1)</f>
        <v/>
      </c>
      <c r="AC29" s="18">
        <f>(INDEX(LUM_DIS,Z29)-1)*10+MATCH($F$10,REFL_NOM,0)</f>
        <v/>
      </c>
      <c r="AD29" s="54">
        <f>INDEX(CU_TAB,AC29,AB29)</f>
        <v/>
      </c>
      <c r="AE29" s="54">
        <f>INDEX(CU_TAB,AC29,MIN(AB29+1,13))</f>
        <v/>
      </c>
      <c r="AF29" s="54">
        <f>IF(AB29&gt;=13,AD29,AD29+(AE29-AD29)*(AA29-INDEX(CU_K,AB29))/(INDEX(CU_K,AB29+1)-INDEX(CU_K,AB29)))</f>
        <v/>
      </c>
      <c r="AG29" s="18" t="n"/>
      <c r="AH29" s="51">
        <f>IF(ISNUMBER(J29),J29,$F$9)</f>
        <v/>
      </c>
    </row>
    <row r="30" ht="24" customHeight="1">
      <c r="B30" s="46" t="n">
        <v>17</v>
      </c>
      <c r="C30" s="57" t="n"/>
      <c r="D30" s="57" t="n"/>
      <c r="E30" s="57" t="n"/>
      <c r="F30" s="36">
        <f>IF(C30="","",IF(W30=0,"Elija el tipo",INDEX(EM_E,W30)))</f>
        <v/>
      </c>
      <c r="G30" s="29" t="n"/>
      <c r="H30" s="29" t="n"/>
      <c r="I30" s="29" t="n"/>
      <c r="J30" s="29" t="n"/>
      <c r="K30" s="57" t="n"/>
      <c r="L30" s="47">
        <f>IF(X30=1,Y30,"")</f>
        <v/>
      </c>
      <c r="M30" s="47">
        <f>IF(X30=1,AF30,"")</f>
        <v/>
      </c>
      <c r="N30" s="47">
        <f>IF(X30=1,F30*G30*H30/(INDEX(LUM_FLU,Z30)*M30*$F$11),"")</f>
        <v/>
      </c>
      <c r="O30" s="53" t="n"/>
      <c r="P30" s="36">
        <f>IF(X30=1,IF(N(O30)&gt;0,ROUND(O30,0),MAX(1,ROUNDUP(N30,0))),"")</f>
        <v/>
      </c>
      <c r="Q30" s="36">
        <f>IF(X30=1,P30*INDEX(LUM_FLU,Z30)*M30*$F$11/(G30*H30),"")</f>
        <v/>
      </c>
      <c r="R30" s="58">
        <f>IF(X30=1,P30*INDEX(LUM_W,Z30),"")</f>
        <v/>
      </c>
      <c r="S30" s="34">
        <f>IF(X30=1,R30/(G30*H30),"")</f>
        <v/>
      </c>
      <c r="T30" s="42">
        <f>IF(C30="","",IF(X30=0,"REVISAR datos",IF(Q30&gt;=F30,IF(Y30&lt;0.3,"AVISO: K &lt; 0.3","CUMPLE"),"NO CUMPLE")))</f>
        <v/>
      </c>
      <c r="W30" s="18">
        <f>IFERROR(MATCH(D30&amp;"|"&amp;E30,EM_KEY,0),0)</f>
        <v/>
      </c>
      <c r="X30" s="18">
        <f>IF(AND(C30&lt;&gt;"",ISNUMBER(F30),N(G30)&gt;0,N(H30)&gt;0,N(I30)&gt;AH30,K30&lt;&gt;""),1,0)</f>
        <v/>
      </c>
      <c r="Y30" s="54">
        <f>IF(X30=1,G30*H30/((I30-AH30)*(G30+H30)),0)</f>
        <v/>
      </c>
      <c r="Z30" s="18">
        <f>IF(X30=1,MATCH(K30,LUM_NOM,0),1)</f>
        <v/>
      </c>
      <c r="AA30" s="54">
        <f>MIN(5,MAX(0.3,Y30))</f>
        <v/>
      </c>
      <c r="AB30" s="18">
        <f>MATCH(AA30,CU_K,1)</f>
        <v/>
      </c>
      <c r="AC30" s="18">
        <f>(INDEX(LUM_DIS,Z30)-1)*10+MATCH($F$10,REFL_NOM,0)</f>
        <v/>
      </c>
      <c r="AD30" s="54">
        <f>INDEX(CU_TAB,AC30,AB30)</f>
        <v/>
      </c>
      <c r="AE30" s="54">
        <f>INDEX(CU_TAB,AC30,MIN(AB30+1,13))</f>
        <v/>
      </c>
      <c r="AF30" s="54">
        <f>IF(AB30&gt;=13,AD30,AD30+(AE30-AD30)*(AA30-INDEX(CU_K,AB30))/(INDEX(CU_K,AB30+1)-INDEX(CU_K,AB30)))</f>
        <v/>
      </c>
      <c r="AG30" s="18" t="n"/>
      <c r="AH30" s="51">
        <f>IF(ISNUMBER(J30),J30,$F$9)</f>
        <v/>
      </c>
    </row>
    <row r="31" ht="24" customHeight="1">
      <c r="B31" s="46" t="n">
        <v>18</v>
      </c>
      <c r="C31" s="57" t="n"/>
      <c r="D31" s="57" t="n"/>
      <c r="E31" s="57" t="n"/>
      <c r="F31" s="36">
        <f>IF(C31="","",IF(W31=0,"Elija el tipo",INDEX(EM_E,W31)))</f>
        <v/>
      </c>
      <c r="G31" s="29" t="n"/>
      <c r="H31" s="29" t="n"/>
      <c r="I31" s="29" t="n"/>
      <c r="J31" s="29" t="n"/>
      <c r="K31" s="57" t="n"/>
      <c r="L31" s="47">
        <f>IF(X31=1,Y31,"")</f>
        <v/>
      </c>
      <c r="M31" s="47">
        <f>IF(X31=1,AF31,"")</f>
        <v/>
      </c>
      <c r="N31" s="47">
        <f>IF(X31=1,F31*G31*H31/(INDEX(LUM_FLU,Z31)*M31*$F$11),"")</f>
        <v/>
      </c>
      <c r="O31" s="53" t="n"/>
      <c r="P31" s="36">
        <f>IF(X31=1,IF(N(O31)&gt;0,ROUND(O31,0),MAX(1,ROUNDUP(N31,0))),"")</f>
        <v/>
      </c>
      <c r="Q31" s="36">
        <f>IF(X31=1,P31*INDEX(LUM_FLU,Z31)*M31*$F$11/(G31*H31),"")</f>
        <v/>
      </c>
      <c r="R31" s="58">
        <f>IF(X31=1,P31*INDEX(LUM_W,Z31),"")</f>
        <v/>
      </c>
      <c r="S31" s="34">
        <f>IF(X31=1,R31/(G31*H31),"")</f>
        <v/>
      </c>
      <c r="T31" s="42">
        <f>IF(C31="","",IF(X31=0,"REVISAR datos",IF(Q31&gt;=F31,IF(Y31&lt;0.3,"AVISO: K &lt; 0.3","CUMPLE"),"NO CUMPLE")))</f>
        <v/>
      </c>
      <c r="W31" s="18">
        <f>IFERROR(MATCH(D31&amp;"|"&amp;E31,EM_KEY,0),0)</f>
        <v/>
      </c>
      <c r="X31" s="18">
        <f>IF(AND(C31&lt;&gt;"",ISNUMBER(F31),N(G31)&gt;0,N(H31)&gt;0,N(I31)&gt;AH31,K31&lt;&gt;""),1,0)</f>
        <v/>
      </c>
      <c r="Y31" s="54">
        <f>IF(X31=1,G31*H31/((I31-AH31)*(G31+H31)),0)</f>
        <v/>
      </c>
      <c r="Z31" s="18">
        <f>IF(X31=1,MATCH(K31,LUM_NOM,0),1)</f>
        <v/>
      </c>
      <c r="AA31" s="54">
        <f>MIN(5,MAX(0.3,Y31))</f>
        <v/>
      </c>
      <c r="AB31" s="18">
        <f>MATCH(AA31,CU_K,1)</f>
        <v/>
      </c>
      <c r="AC31" s="18">
        <f>(INDEX(LUM_DIS,Z31)-1)*10+MATCH($F$10,REFL_NOM,0)</f>
        <v/>
      </c>
      <c r="AD31" s="54">
        <f>INDEX(CU_TAB,AC31,AB31)</f>
        <v/>
      </c>
      <c r="AE31" s="54">
        <f>INDEX(CU_TAB,AC31,MIN(AB31+1,13))</f>
        <v/>
      </c>
      <c r="AF31" s="54">
        <f>IF(AB31&gt;=13,AD31,AD31+(AE31-AD31)*(AA31-INDEX(CU_K,AB31))/(INDEX(CU_K,AB31+1)-INDEX(CU_K,AB31)))</f>
        <v/>
      </c>
      <c r="AG31" s="18" t="n"/>
      <c r="AH31" s="51">
        <f>IF(ISNUMBER(J31),J31,$F$9)</f>
        <v/>
      </c>
    </row>
    <row r="32" ht="24" customHeight="1">
      <c r="B32" s="46" t="n">
        <v>19</v>
      </c>
      <c r="C32" s="57" t="n"/>
      <c r="D32" s="57" t="n"/>
      <c r="E32" s="57" t="n"/>
      <c r="F32" s="36">
        <f>IF(C32="","",IF(W32=0,"Elija el tipo",INDEX(EM_E,W32)))</f>
        <v/>
      </c>
      <c r="G32" s="29" t="n"/>
      <c r="H32" s="29" t="n"/>
      <c r="I32" s="29" t="n"/>
      <c r="J32" s="29" t="n"/>
      <c r="K32" s="57" t="n"/>
      <c r="L32" s="47">
        <f>IF(X32=1,Y32,"")</f>
        <v/>
      </c>
      <c r="M32" s="47">
        <f>IF(X32=1,AF32,"")</f>
        <v/>
      </c>
      <c r="N32" s="47">
        <f>IF(X32=1,F32*G32*H32/(INDEX(LUM_FLU,Z32)*M32*$F$11),"")</f>
        <v/>
      </c>
      <c r="O32" s="53" t="n"/>
      <c r="P32" s="36">
        <f>IF(X32=1,IF(N(O32)&gt;0,ROUND(O32,0),MAX(1,ROUNDUP(N32,0))),"")</f>
        <v/>
      </c>
      <c r="Q32" s="36">
        <f>IF(X32=1,P32*INDEX(LUM_FLU,Z32)*M32*$F$11/(G32*H32),"")</f>
        <v/>
      </c>
      <c r="R32" s="58">
        <f>IF(X32=1,P32*INDEX(LUM_W,Z32),"")</f>
        <v/>
      </c>
      <c r="S32" s="34">
        <f>IF(X32=1,R32/(G32*H32),"")</f>
        <v/>
      </c>
      <c r="T32" s="42">
        <f>IF(C32="","",IF(X32=0,"REVISAR datos",IF(Q32&gt;=F32,IF(Y32&lt;0.3,"AVISO: K &lt; 0.3","CUMPLE"),"NO CUMPLE")))</f>
        <v/>
      </c>
      <c r="W32" s="18">
        <f>IFERROR(MATCH(D32&amp;"|"&amp;E32,EM_KEY,0),0)</f>
        <v/>
      </c>
      <c r="X32" s="18">
        <f>IF(AND(C32&lt;&gt;"",ISNUMBER(F32),N(G32)&gt;0,N(H32)&gt;0,N(I32)&gt;AH32,K32&lt;&gt;""),1,0)</f>
        <v/>
      </c>
      <c r="Y32" s="54">
        <f>IF(X32=1,G32*H32/((I32-AH32)*(G32+H32)),0)</f>
        <v/>
      </c>
      <c r="Z32" s="18">
        <f>IF(X32=1,MATCH(K32,LUM_NOM,0),1)</f>
        <v/>
      </c>
      <c r="AA32" s="54">
        <f>MIN(5,MAX(0.3,Y32))</f>
        <v/>
      </c>
      <c r="AB32" s="18">
        <f>MATCH(AA32,CU_K,1)</f>
        <v/>
      </c>
      <c r="AC32" s="18">
        <f>(INDEX(LUM_DIS,Z32)-1)*10+MATCH($F$10,REFL_NOM,0)</f>
        <v/>
      </c>
      <c r="AD32" s="54">
        <f>INDEX(CU_TAB,AC32,AB32)</f>
        <v/>
      </c>
      <c r="AE32" s="54">
        <f>INDEX(CU_TAB,AC32,MIN(AB32+1,13))</f>
        <v/>
      </c>
      <c r="AF32" s="54">
        <f>IF(AB32&gt;=13,AD32,AD32+(AE32-AD32)*(AA32-INDEX(CU_K,AB32))/(INDEX(CU_K,AB32+1)-INDEX(CU_K,AB32)))</f>
        <v/>
      </c>
      <c r="AG32" s="18" t="n"/>
      <c r="AH32" s="51">
        <f>IF(ISNUMBER(J32),J32,$F$9)</f>
        <v/>
      </c>
    </row>
    <row r="33" ht="24" customHeight="1">
      <c r="B33" s="46" t="n">
        <v>20</v>
      </c>
      <c r="C33" s="57" t="n"/>
      <c r="D33" s="57" t="n"/>
      <c r="E33" s="57" t="n"/>
      <c r="F33" s="36">
        <f>IF(C33="","",IF(W33=0,"Elija el tipo",INDEX(EM_E,W33)))</f>
        <v/>
      </c>
      <c r="G33" s="29" t="n"/>
      <c r="H33" s="29" t="n"/>
      <c r="I33" s="29" t="n"/>
      <c r="J33" s="29" t="n"/>
      <c r="K33" s="57" t="n"/>
      <c r="L33" s="47">
        <f>IF(X33=1,Y33,"")</f>
        <v/>
      </c>
      <c r="M33" s="47">
        <f>IF(X33=1,AF33,"")</f>
        <v/>
      </c>
      <c r="N33" s="47">
        <f>IF(X33=1,F33*G33*H33/(INDEX(LUM_FLU,Z33)*M33*$F$11),"")</f>
        <v/>
      </c>
      <c r="O33" s="53" t="n"/>
      <c r="P33" s="36">
        <f>IF(X33=1,IF(N(O33)&gt;0,ROUND(O33,0),MAX(1,ROUNDUP(N33,0))),"")</f>
        <v/>
      </c>
      <c r="Q33" s="36">
        <f>IF(X33=1,P33*INDEX(LUM_FLU,Z33)*M33*$F$11/(G33*H33),"")</f>
        <v/>
      </c>
      <c r="R33" s="58">
        <f>IF(X33=1,P33*INDEX(LUM_W,Z33),"")</f>
        <v/>
      </c>
      <c r="S33" s="34">
        <f>IF(X33=1,R33/(G33*H33),"")</f>
        <v/>
      </c>
      <c r="T33" s="42">
        <f>IF(C33="","",IF(X33=0,"REVISAR datos",IF(Q33&gt;=F33,IF(Y33&lt;0.3,"AVISO: K &lt; 0.3","CUMPLE"),"NO CUMPLE")))</f>
        <v/>
      </c>
      <c r="W33" s="18">
        <f>IFERROR(MATCH(D33&amp;"|"&amp;E33,EM_KEY,0),0)</f>
        <v/>
      </c>
      <c r="X33" s="18">
        <f>IF(AND(C33&lt;&gt;"",ISNUMBER(F33),N(G33)&gt;0,N(H33)&gt;0,N(I33)&gt;AH33,K33&lt;&gt;""),1,0)</f>
        <v/>
      </c>
      <c r="Y33" s="54">
        <f>IF(X33=1,G33*H33/((I33-AH33)*(G33+H33)),0)</f>
        <v/>
      </c>
      <c r="Z33" s="18">
        <f>IF(X33=1,MATCH(K33,LUM_NOM,0),1)</f>
        <v/>
      </c>
      <c r="AA33" s="54">
        <f>MIN(5,MAX(0.3,Y33))</f>
        <v/>
      </c>
      <c r="AB33" s="18">
        <f>MATCH(AA33,CU_K,1)</f>
        <v/>
      </c>
      <c r="AC33" s="18">
        <f>(INDEX(LUM_DIS,Z33)-1)*10+MATCH($F$10,REFL_NOM,0)</f>
        <v/>
      </c>
      <c r="AD33" s="54">
        <f>INDEX(CU_TAB,AC33,AB33)</f>
        <v/>
      </c>
      <c r="AE33" s="54">
        <f>INDEX(CU_TAB,AC33,MIN(AB33+1,13))</f>
        <v/>
      </c>
      <c r="AF33" s="54">
        <f>IF(AB33&gt;=13,AD33,AD33+(AE33-AD33)*(AA33-INDEX(CU_K,AB33))/(INDEX(CU_K,AB33+1)-INDEX(CU_K,AB33)))</f>
        <v/>
      </c>
      <c r="AG33" s="18" t="n"/>
      <c r="AH33" s="51">
        <f>IF(ISNUMBER(J33),J33,$F$9)</f>
        <v/>
      </c>
    </row>
    <row r="34" ht="24" customHeight="1">
      <c r="B34" s="46" t="n">
        <v>21</v>
      </c>
      <c r="C34" s="57" t="n"/>
      <c r="D34" s="57" t="n"/>
      <c r="E34" s="57" t="n"/>
      <c r="F34" s="36">
        <f>IF(C34="","",IF(W34=0,"Elija el tipo",INDEX(EM_E,W34)))</f>
        <v/>
      </c>
      <c r="G34" s="29" t="n"/>
      <c r="H34" s="29" t="n"/>
      <c r="I34" s="29" t="n"/>
      <c r="J34" s="29" t="n"/>
      <c r="K34" s="57" t="n"/>
      <c r="L34" s="47">
        <f>IF(X34=1,Y34,"")</f>
        <v/>
      </c>
      <c r="M34" s="47">
        <f>IF(X34=1,AF34,"")</f>
        <v/>
      </c>
      <c r="N34" s="47">
        <f>IF(X34=1,F34*G34*H34/(INDEX(LUM_FLU,Z34)*M34*$F$11),"")</f>
        <v/>
      </c>
      <c r="O34" s="53" t="n"/>
      <c r="P34" s="36">
        <f>IF(X34=1,IF(N(O34)&gt;0,ROUND(O34,0),MAX(1,ROUNDUP(N34,0))),"")</f>
        <v/>
      </c>
      <c r="Q34" s="36">
        <f>IF(X34=1,P34*INDEX(LUM_FLU,Z34)*M34*$F$11/(G34*H34),"")</f>
        <v/>
      </c>
      <c r="R34" s="58">
        <f>IF(X34=1,P34*INDEX(LUM_W,Z34),"")</f>
        <v/>
      </c>
      <c r="S34" s="34">
        <f>IF(X34=1,R34/(G34*H34),"")</f>
        <v/>
      </c>
      <c r="T34" s="42">
        <f>IF(C34="","",IF(X34=0,"REVISAR datos",IF(Q34&gt;=F34,IF(Y34&lt;0.3,"AVISO: K &lt; 0.3","CUMPLE"),"NO CUMPLE")))</f>
        <v/>
      </c>
      <c r="W34" s="18">
        <f>IFERROR(MATCH(D34&amp;"|"&amp;E34,EM_KEY,0),0)</f>
        <v/>
      </c>
      <c r="X34" s="18">
        <f>IF(AND(C34&lt;&gt;"",ISNUMBER(F34),N(G34)&gt;0,N(H34)&gt;0,N(I34)&gt;AH34,K34&lt;&gt;""),1,0)</f>
        <v/>
      </c>
      <c r="Y34" s="54">
        <f>IF(X34=1,G34*H34/((I34-AH34)*(G34+H34)),0)</f>
        <v/>
      </c>
      <c r="Z34" s="18">
        <f>IF(X34=1,MATCH(K34,LUM_NOM,0),1)</f>
        <v/>
      </c>
      <c r="AA34" s="54">
        <f>MIN(5,MAX(0.3,Y34))</f>
        <v/>
      </c>
      <c r="AB34" s="18">
        <f>MATCH(AA34,CU_K,1)</f>
        <v/>
      </c>
      <c r="AC34" s="18">
        <f>(INDEX(LUM_DIS,Z34)-1)*10+MATCH($F$10,REFL_NOM,0)</f>
        <v/>
      </c>
      <c r="AD34" s="54">
        <f>INDEX(CU_TAB,AC34,AB34)</f>
        <v/>
      </c>
      <c r="AE34" s="54">
        <f>INDEX(CU_TAB,AC34,MIN(AB34+1,13))</f>
        <v/>
      </c>
      <c r="AF34" s="54">
        <f>IF(AB34&gt;=13,AD34,AD34+(AE34-AD34)*(AA34-INDEX(CU_K,AB34))/(INDEX(CU_K,AB34+1)-INDEX(CU_K,AB34)))</f>
        <v/>
      </c>
      <c r="AG34" s="18" t="n"/>
      <c r="AH34" s="51">
        <f>IF(ISNUMBER(J34),J34,$F$9)</f>
        <v/>
      </c>
    </row>
    <row r="35" ht="24" customHeight="1">
      <c r="B35" s="46" t="n">
        <v>22</v>
      </c>
      <c r="C35" s="57" t="n"/>
      <c r="D35" s="57" t="n"/>
      <c r="E35" s="57" t="n"/>
      <c r="F35" s="36">
        <f>IF(C35="","",IF(W35=0,"Elija el tipo",INDEX(EM_E,W35)))</f>
        <v/>
      </c>
      <c r="G35" s="29" t="n"/>
      <c r="H35" s="29" t="n"/>
      <c r="I35" s="29" t="n"/>
      <c r="J35" s="29" t="n"/>
      <c r="K35" s="57" t="n"/>
      <c r="L35" s="47">
        <f>IF(X35=1,Y35,"")</f>
        <v/>
      </c>
      <c r="M35" s="47">
        <f>IF(X35=1,AF35,"")</f>
        <v/>
      </c>
      <c r="N35" s="47">
        <f>IF(X35=1,F35*G35*H35/(INDEX(LUM_FLU,Z35)*M35*$F$11),"")</f>
        <v/>
      </c>
      <c r="O35" s="53" t="n"/>
      <c r="P35" s="36">
        <f>IF(X35=1,IF(N(O35)&gt;0,ROUND(O35,0),MAX(1,ROUNDUP(N35,0))),"")</f>
        <v/>
      </c>
      <c r="Q35" s="36">
        <f>IF(X35=1,P35*INDEX(LUM_FLU,Z35)*M35*$F$11/(G35*H35),"")</f>
        <v/>
      </c>
      <c r="R35" s="58">
        <f>IF(X35=1,P35*INDEX(LUM_W,Z35),"")</f>
        <v/>
      </c>
      <c r="S35" s="34">
        <f>IF(X35=1,R35/(G35*H35),"")</f>
        <v/>
      </c>
      <c r="T35" s="42">
        <f>IF(C35="","",IF(X35=0,"REVISAR datos",IF(Q35&gt;=F35,IF(Y35&lt;0.3,"AVISO: K &lt; 0.3","CUMPLE"),"NO CUMPLE")))</f>
        <v/>
      </c>
      <c r="W35" s="18">
        <f>IFERROR(MATCH(D35&amp;"|"&amp;E35,EM_KEY,0),0)</f>
        <v/>
      </c>
      <c r="X35" s="18">
        <f>IF(AND(C35&lt;&gt;"",ISNUMBER(F35),N(G35)&gt;0,N(H35)&gt;0,N(I35)&gt;AH35,K35&lt;&gt;""),1,0)</f>
        <v/>
      </c>
      <c r="Y35" s="54">
        <f>IF(X35=1,G35*H35/((I35-AH35)*(G35+H35)),0)</f>
        <v/>
      </c>
      <c r="Z35" s="18">
        <f>IF(X35=1,MATCH(K35,LUM_NOM,0),1)</f>
        <v/>
      </c>
      <c r="AA35" s="54">
        <f>MIN(5,MAX(0.3,Y35))</f>
        <v/>
      </c>
      <c r="AB35" s="18">
        <f>MATCH(AA35,CU_K,1)</f>
        <v/>
      </c>
      <c r="AC35" s="18">
        <f>(INDEX(LUM_DIS,Z35)-1)*10+MATCH($F$10,REFL_NOM,0)</f>
        <v/>
      </c>
      <c r="AD35" s="54">
        <f>INDEX(CU_TAB,AC35,AB35)</f>
        <v/>
      </c>
      <c r="AE35" s="54">
        <f>INDEX(CU_TAB,AC35,MIN(AB35+1,13))</f>
        <v/>
      </c>
      <c r="AF35" s="54">
        <f>IF(AB35&gt;=13,AD35,AD35+(AE35-AD35)*(AA35-INDEX(CU_K,AB35))/(INDEX(CU_K,AB35+1)-INDEX(CU_K,AB35)))</f>
        <v/>
      </c>
      <c r="AG35" s="18" t="n"/>
      <c r="AH35" s="51">
        <f>IF(ISNUMBER(J35),J35,$F$9)</f>
        <v/>
      </c>
    </row>
    <row r="36" ht="24" customHeight="1">
      <c r="B36" s="46" t="n">
        <v>23</v>
      </c>
      <c r="C36" s="57" t="n"/>
      <c r="D36" s="57" t="n"/>
      <c r="E36" s="57" t="n"/>
      <c r="F36" s="36">
        <f>IF(C36="","",IF(W36=0,"Elija el tipo",INDEX(EM_E,W36)))</f>
        <v/>
      </c>
      <c r="G36" s="29" t="n"/>
      <c r="H36" s="29" t="n"/>
      <c r="I36" s="29" t="n"/>
      <c r="J36" s="29" t="n"/>
      <c r="K36" s="57" t="n"/>
      <c r="L36" s="47">
        <f>IF(X36=1,Y36,"")</f>
        <v/>
      </c>
      <c r="M36" s="47">
        <f>IF(X36=1,AF36,"")</f>
        <v/>
      </c>
      <c r="N36" s="47">
        <f>IF(X36=1,F36*G36*H36/(INDEX(LUM_FLU,Z36)*M36*$F$11),"")</f>
        <v/>
      </c>
      <c r="O36" s="53" t="n"/>
      <c r="P36" s="36">
        <f>IF(X36=1,IF(N(O36)&gt;0,ROUND(O36,0),MAX(1,ROUNDUP(N36,0))),"")</f>
        <v/>
      </c>
      <c r="Q36" s="36">
        <f>IF(X36=1,P36*INDEX(LUM_FLU,Z36)*M36*$F$11/(G36*H36),"")</f>
        <v/>
      </c>
      <c r="R36" s="58">
        <f>IF(X36=1,P36*INDEX(LUM_W,Z36),"")</f>
        <v/>
      </c>
      <c r="S36" s="34">
        <f>IF(X36=1,R36/(G36*H36),"")</f>
        <v/>
      </c>
      <c r="T36" s="42">
        <f>IF(C36="","",IF(X36=0,"REVISAR datos",IF(Q36&gt;=F36,IF(Y36&lt;0.3,"AVISO: K &lt; 0.3","CUMPLE"),"NO CUMPLE")))</f>
        <v/>
      </c>
      <c r="W36" s="18">
        <f>IFERROR(MATCH(D36&amp;"|"&amp;E36,EM_KEY,0),0)</f>
        <v/>
      </c>
      <c r="X36" s="18">
        <f>IF(AND(C36&lt;&gt;"",ISNUMBER(F36),N(G36)&gt;0,N(H36)&gt;0,N(I36)&gt;AH36,K36&lt;&gt;""),1,0)</f>
        <v/>
      </c>
      <c r="Y36" s="54">
        <f>IF(X36=1,G36*H36/((I36-AH36)*(G36+H36)),0)</f>
        <v/>
      </c>
      <c r="Z36" s="18">
        <f>IF(X36=1,MATCH(K36,LUM_NOM,0),1)</f>
        <v/>
      </c>
      <c r="AA36" s="54">
        <f>MIN(5,MAX(0.3,Y36))</f>
        <v/>
      </c>
      <c r="AB36" s="18">
        <f>MATCH(AA36,CU_K,1)</f>
        <v/>
      </c>
      <c r="AC36" s="18">
        <f>(INDEX(LUM_DIS,Z36)-1)*10+MATCH($F$10,REFL_NOM,0)</f>
        <v/>
      </c>
      <c r="AD36" s="54">
        <f>INDEX(CU_TAB,AC36,AB36)</f>
        <v/>
      </c>
      <c r="AE36" s="54">
        <f>INDEX(CU_TAB,AC36,MIN(AB36+1,13))</f>
        <v/>
      </c>
      <c r="AF36" s="54">
        <f>IF(AB36&gt;=13,AD36,AD36+(AE36-AD36)*(AA36-INDEX(CU_K,AB36))/(INDEX(CU_K,AB36+1)-INDEX(CU_K,AB36)))</f>
        <v/>
      </c>
      <c r="AG36" s="18" t="n"/>
      <c r="AH36" s="51">
        <f>IF(ISNUMBER(J36),J36,$F$9)</f>
        <v/>
      </c>
    </row>
    <row r="37" ht="24" customHeight="1">
      <c r="B37" s="46" t="n">
        <v>24</v>
      </c>
      <c r="C37" s="57" t="n"/>
      <c r="D37" s="57" t="n"/>
      <c r="E37" s="57" t="n"/>
      <c r="F37" s="36">
        <f>IF(C37="","",IF(W37=0,"Elija el tipo",INDEX(EM_E,W37)))</f>
        <v/>
      </c>
      <c r="G37" s="29" t="n"/>
      <c r="H37" s="29" t="n"/>
      <c r="I37" s="29" t="n"/>
      <c r="J37" s="29" t="n"/>
      <c r="K37" s="57" t="n"/>
      <c r="L37" s="47">
        <f>IF(X37=1,Y37,"")</f>
        <v/>
      </c>
      <c r="M37" s="47">
        <f>IF(X37=1,AF37,"")</f>
        <v/>
      </c>
      <c r="N37" s="47">
        <f>IF(X37=1,F37*G37*H37/(INDEX(LUM_FLU,Z37)*M37*$F$11),"")</f>
        <v/>
      </c>
      <c r="O37" s="53" t="n"/>
      <c r="P37" s="36">
        <f>IF(X37=1,IF(N(O37)&gt;0,ROUND(O37,0),MAX(1,ROUNDUP(N37,0))),"")</f>
        <v/>
      </c>
      <c r="Q37" s="36">
        <f>IF(X37=1,P37*INDEX(LUM_FLU,Z37)*M37*$F$11/(G37*H37),"")</f>
        <v/>
      </c>
      <c r="R37" s="58">
        <f>IF(X37=1,P37*INDEX(LUM_W,Z37),"")</f>
        <v/>
      </c>
      <c r="S37" s="34">
        <f>IF(X37=1,R37/(G37*H37),"")</f>
        <v/>
      </c>
      <c r="T37" s="42">
        <f>IF(C37="","",IF(X37=0,"REVISAR datos",IF(Q37&gt;=F37,IF(Y37&lt;0.3,"AVISO: K &lt; 0.3","CUMPLE"),"NO CUMPLE")))</f>
        <v/>
      </c>
      <c r="W37" s="18">
        <f>IFERROR(MATCH(D37&amp;"|"&amp;E37,EM_KEY,0),0)</f>
        <v/>
      </c>
      <c r="X37" s="18">
        <f>IF(AND(C37&lt;&gt;"",ISNUMBER(F37),N(G37)&gt;0,N(H37)&gt;0,N(I37)&gt;AH37,K37&lt;&gt;""),1,0)</f>
        <v/>
      </c>
      <c r="Y37" s="54">
        <f>IF(X37=1,G37*H37/((I37-AH37)*(G37+H37)),0)</f>
        <v/>
      </c>
      <c r="Z37" s="18">
        <f>IF(X37=1,MATCH(K37,LUM_NOM,0),1)</f>
        <v/>
      </c>
      <c r="AA37" s="54">
        <f>MIN(5,MAX(0.3,Y37))</f>
        <v/>
      </c>
      <c r="AB37" s="18">
        <f>MATCH(AA37,CU_K,1)</f>
        <v/>
      </c>
      <c r="AC37" s="18">
        <f>(INDEX(LUM_DIS,Z37)-1)*10+MATCH($F$10,REFL_NOM,0)</f>
        <v/>
      </c>
      <c r="AD37" s="54">
        <f>INDEX(CU_TAB,AC37,AB37)</f>
        <v/>
      </c>
      <c r="AE37" s="54">
        <f>INDEX(CU_TAB,AC37,MIN(AB37+1,13))</f>
        <v/>
      </c>
      <c r="AF37" s="54">
        <f>IF(AB37&gt;=13,AD37,AD37+(AE37-AD37)*(AA37-INDEX(CU_K,AB37))/(INDEX(CU_K,AB37+1)-INDEX(CU_K,AB37)))</f>
        <v/>
      </c>
      <c r="AG37" s="18" t="n"/>
      <c r="AH37" s="51">
        <f>IF(ISNUMBER(J37),J37,$F$9)</f>
        <v/>
      </c>
    </row>
    <row r="38" ht="24" customHeight="1">
      <c r="B38" s="46" t="n">
        <v>25</v>
      </c>
      <c r="C38" s="57" t="n"/>
      <c r="D38" s="57" t="n"/>
      <c r="E38" s="57" t="n"/>
      <c r="F38" s="36">
        <f>IF(C38="","",IF(W38=0,"Elija el tipo",INDEX(EM_E,W38)))</f>
        <v/>
      </c>
      <c r="G38" s="29" t="n"/>
      <c r="H38" s="29" t="n"/>
      <c r="I38" s="29" t="n"/>
      <c r="J38" s="29" t="n"/>
      <c r="K38" s="57" t="n"/>
      <c r="L38" s="47">
        <f>IF(X38=1,Y38,"")</f>
        <v/>
      </c>
      <c r="M38" s="47">
        <f>IF(X38=1,AF38,"")</f>
        <v/>
      </c>
      <c r="N38" s="47">
        <f>IF(X38=1,F38*G38*H38/(INDEX(LUM_FLU,Z38)*M38*$F$11),"")</f>
        <v/>
      </c>
      <c r="O38" s="53" t="n"/>
      <c r="P38" s="36">
        <f>IF(X38=1,IF(N(O38)&gt;0,ROUND(O38,0),MAX(1,ROUNDUP(N38,0))),"")</f>
        <v/>
      </c>
      <c r="Q38" s="36">
        <f>IF(X38=1,P38*INDEX(LUM_FLU,Z38)*M38*$F$11/(G38*H38),"")</f>
        <v/>
      </c>
      <c r="R38" s="58">
        <f>IF(X38=1,P38*INDEX(LUM_W,Z38),"")</f>
        <v/>
      </c>
      <c r="S38" s="34">
        <f>IF(X38=1,R38/(G38*H38),"")</f>
        <v/>
      </c>
      <c r="T38" s="42">
        <f>IF(C38="","",IF(X38=0,"REVISAR datos",IF(Q38&gt;=F38,IF(Y38&lt;0.3,"AVISO: K &lt; 0.3","CUMPLE"),"NO CUMPLE")))</f>
        <v/>
      </c>
      <c r="W38" s="18">
        <f>IFERROR(MATCH(D38&amp;"|"&amp;E38,EM_KEY,0),0)</f>
        <v/>
      </c>
      <c r="X38" s="18">
        <f>IF(AND(C38&lt;&gt;"",ISNUMBER(F38),N(G38)&gt;0,N(H38)&gt;0,N(I38)&gt;AH38,K38&lt;&gt;""),1,0)</f>
        <v/>
      </c>
      <c r="Y38" s="54">
        <f>IF(X38=1,G38*H38/((I38-AH38)*(G38+H38)),0)</f>
        <v/>
      </c>
      <c r="Z38" s="18">
        <f>IF(X38=1,MATCH(K38,LUM_NOM,0),1)</f>
        <v/>
      </c>
      <c r="AA38" s="54">
        <f>MIN(5,MAX(0.3,Y38))</f>
        <v/>
      </c>
      <c r="AB38" s="18">
        <f>MATCH(AA38,CU_K,1)</f>
        <v/>
      </c>
      <c r="AC38" s="18">
        <f>(INDEX(LUM_DIS,Z38)-1)*10+MATCH($F$10,REFL_NOM,0)</f>
        <v/>
      </c>
      <c r="AD38" s="54">
        <f>INDEX(CU_TAB,AC38,AB38)</f>
        <v/>
      </c>
      <c r="AE38" s="54">
        <f>INDEX(CU_TAB,AC38,MIN(AB38+1,13))</f>
        <v/>
      </c>
      <c r="AF38" s="54">
        <f>IF(AB38&gt;=13,AD38,AD38+(AE38-AD38)*(AA38-INDEX(CU_K,AB38))/(INDEX(CU_K,AB38+1)-INDEX(CU_K,AB38)))</f>
        <v/>
      </c>
      <c r="AG38" s="18" t="n"/>
      <c r="AH38" s="51">
        <f>IF(ISNUMBER(J38),J38,$F$9)</f>
        <v/>
      </c>
    </row>
    <row r="39">
      <c r="B39" s="59" t="inlineStr">
        <is>
          <t>TOTAL</t>
        </is>
      </c>
      <c r="P39" s="36">
        <f>SUM(P14:P38)</f>
        <v/>
      </c>
      <c r="Q39" s="36" t="inlineStr"/>
      <c r="R39" s="60">
        <f>SUM(R14:R38)</f>
        <v/>
      </c>
      <c r="S39" s="35">
        <f>IF(SUMPRODUCT((X14:X38=1)*G14:G38*H14:H38)=0,"",R39/SUMPRODUCT((X14:X38=1)*G14:G38*H14:H38))</f>
        <v/>
      </c>
      <c r="T39" s="42">
        <f>IF(COUNTIF(T14:T38,"NO CUMPLE")+COUNTIF(T14:T38,"REVISAR*")+COUNTIF(T14:T38,"AVISO*")&gt;0,"REVISAR","CUMPLE")</f>
        <v/>
      </c>
      <c r="W39" s="18" t="n"/>
      <c r="X39" s="18" t="n"/>
      <c r="Y39" s="18" t="n"/>
      <c r="Z39" s="18" t="n"/>
      <c r="AA39" s="18" t="n"/>
      <c r="AB39" s="18" t="n"/>
      <c r="AC39" s="18" t="n"/>
      <c r="AD39" s="18" t="n"/>
      <c r="AE39" s="18" t="n"/>
      <c r="AF39" s="18" t="n"/>
      <c r="AG39" s="18" t="n"/>
      <c r="AH39" s="18" t="n"/>
    </row>
    <row r="41">
      <c r="B41" s="31" t="inlineStr">
        <is>
          <t>CU de la tabla genérica de ALF_BIM (luminaria difusa o concentrada, local cuadrado, K de 0.3 a 5; ver TABLAS). Em obtenida = N·Φ·CU·FM/A. Verifique el UGRL, la Uo y el Ra de cada ambiente con la fotometría del fabricante (EM.010 Art. 6.8). Potencia de alumbrado para el cuadro de cargas: columna «Potencia».</t>
        </is>
      </c>
    </row>
    <row r="42"/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20">
    <mergeCell ref="F11:G11"/>
    <mergeCell ref="B41:T42"/>
    <mergeCell ref="F10:G10"/>
    <mergeCell ref="B3:C3"/>
    <mergeCell ref="B8:D8"/>
    <mergeCell ref="C9:E9"/>
    <mergeCell ref="C11:E11"/>
    <mergeCell ref="B39:O39"/>
    <mergeCell ref="D6:T6"/>
    <mergeCell ref="B2:T2"/>
    <mergeCell ref="F9:G9"/>
    <mergeCell ref="D4:T4"/>
    <mergeCell ref="B6:C6"/>
    <mergeCell ref="D3:T3"/>
    <mergeCell ref="B5:C5"/>
    <mergeCell ref="B1:T1"/>
    <mergeCell ref="I9:T11"/>
    <mergeCell ref="D5:T5"/>
    <mergeCell ref="B4:C4"/>
    <mergeCell ref="C10:E10"/>
  </mergeCells>
  <conditionalFormatting sqref="T14:T39">
    <cfRule type="expression" priority="1" dxfId="0" stopIfTrue="1">
      <formula>ISNUMBER(SEARCH("NO CUMPLE",T14))</formula>
    </cfRule>
    <cfRule type="expression" priority="2" dxfId="1" stopIfTrue="1">
      <formula>OR(LEFT(T14,7)="REVISAR",LEFT(T14,6)="AVISO:",LEFT(T14,7)="Elija e",LEFT(T14,9)="Insuficie")</formula>
    </cfRule>
    <cfRule type="expression" priority="3" dxfId="2">
      <formula>T14="CUMPLE"</formula>
    </cfRule>
  </conditionalFormatting>
  <conditionalFormatting sqref="F14:F38">
    <cfRule type="expression" priority="4" dxfId="1">
      <formula>F14="Elija el tipo"</formula>
    </cfRule>
  </conditionalFormatting>
  <dataValidations count="30">
    <dataValidation sqref="F10" showDropDown="0" showInputMessage="0" showErrorMessage="0" allowBlank="1" errorTitle="Valor no válido" error="Elija un valor de la lista" type="list">
      <formula1>=REFL_NOM</formula1>
    </dataValidation>
    <dataValidation sqref="F9" showDropDown="0" showInputMessage="0" showErrorMessage="0" allowBlank="1" errorTitle="Valor fuera de rango" error="Ingrese entre 0 y 5 m" type="decimal" operator="between">
      <formula1>0</formula1>
      <formula2>5</formula2>
    </dataValidation>
    <dataValidation sqref="F11" showDropDown="0" showInputMessage="0" showErrorMessage="0" allowBlank="1" errorTitle="Valor fuera de rango" error="Ingrese entre 0.30 y 1.00" type="decimal" operator="between">
      <formula1>0.3</formula1>
      <formula2>1</formula2>
    </dataValidation>
    <dataValidation sqref="D14 D15 D16 D17 D18 D19 D20 D21 D22 D23 D24 D25 D26 D27 D28 D29 D30 D31 D32 D33 D34 D35 D36 D37 D38" showDropDown="0" showInputMessage="0" showErrorMessage="0" allowBlank="1" errorTitle="Valor no válido" error="Elija un valor de la lista" type="list">
      <formula1>=EM_SEC</formula1>
    </dataValidation>
    <dataValidation sqref="E14" showDropDown="0" showInputMessage="0" showErrorMessage="0" allowBlank="1" errorTitle="Valor no válido" error="Elija un valor de la lista" type="list">
      <formula1>=INDIRECT(VLOOKUP($D$14,EM_SECMAP,2,FALSE))</formula1>
    </dataValidation>
    <dataValidation sqref="K14 K15 K16 K17 K18 K19 K20 K21 K22 K23 K24 K25 K26 K27 K28 K29 K30 K31 K32 K33 K34 K35 K36 K37 K38" showDropDown="0" showInputMessage="0" showErrorMessage="0" allowBlank="1" errorTitle="Valor no válido" error="Elija un valor de la lista" type="list">
      <formula1>=LUM_NOM</formula1>
    </dataValidation>
    <dataValidation sqref="E15" showDropDown="0" showInputMessage="0" showErrorMessage="0" allowBlank="1" errorTitle="Valor no válido" error="Elija un valor de la lista" type="list">
      <formula1>=INDIRECT(VLOOKUP($D$15,EM_SECMAP,2,FALSE))</formula1>
    </dataValidation>
    <dataValidation sqref="E16" showDropDown="0" showInputMessage="0" showErrorMessage="0" allowBlank="1" errorTitle="Valor no válido" error="Elija un valor de la lista" type="list">
      <formula1>=INDIRECT(VLOOKUP($D$16,EM_SECMAP,2,FALSE))</formula1>
    </dataValidation>
    <dataValidation sqref="E17" showDropDown="0" showInputMessage="0" showErrorMessage="0" allowBlank="1" errorTitle="Valor no válido" error="Elija un valor de la lista" type="list">
      <formula1>=INDIRECT(VLOOKUP($D$17,EM_SECMAP,2,FALSE))</formula1>
    </dataValidation>
    <dataValidation sqref="E18" showDropDown="0" showInputMessage="0" showErrorMessage="0" allowBlank="1" errorTitle="Valor no válido" error="Elija un valor de la lista" type="list">
      <formula1>=INDIRECT(VLOOKUP($D$18,EM_SECMAP,2,FALSE))</formula1>
    </dataValidation>
    <dataValidation sqref="E19" showDropDown="0" showInputMessage="0" showErrorMessage="0" allowBlank="1" errorTitle="Valor no válido" error="Elija un valor de la lista" type="list">
      <formula1>=INDIRECT(VLOOKUP($D$19,EM_SECMAP,2,FALSE))</formula1>
    </dataValidation>
    <dataValidation sqref="E20" showDropDown="0" showInputMessage="0" showErrorMessage="0" allowBlank="1" errorTitle="Valor no válido" error="Elija un valor de la lista" type="list">
      <formula1>=INDIRECT(VLOOKUP($D$20,EM_SECMAP,2,FALSE))</formula1>
    </dataValidation>
    <dataValidation sqref="E21" showDropDown="0" showInputMessage="0" showErrorMessage="0" allowBlank="1" errorTitle="Valor no válido" error="Elija un valor de la lista" type="list">
      <formula1>=INDIRECT(VLOOKUP($D$21,EM_SECMAP,2,FALSE))</formula1>
    </dataValidation>
    <dataValidation sqref="E22" showDropDown="0" showInputMessage="0" showErrorMessage="0" allowBlank="1" errorTitle="Valor no válido" error="Elija un valor de la lista" type="list">
      <formula1>=INDIRECT(VLOOKUP($D$22,EM_SECMAP,2,FALSE))</formula1>
    </dataValidation>
    <dataValidation sqref="E23" showDropDown="0" showInputMessage="0" showErrorMessage="0" allowBlank="1" errorTitle="Valor no válido" error="Elija un valor de la lista" type="list">
      <formula1>=INDIRECT(VLOOKUP($D$23,EM_SECMAP,2,FALSE))</formula1>
    </dataValidation>
    <dataValidation sqref="E24" showDropDown="0" showInputMessage="0" showErrorMessage="0" allowBlank="1" errorTitle="Valor no válido" error="Elija un valor de la lista" type="list">
      <formula1>=INDIRECT(VLOOKUP($D$24,EM_SECMAP,2,FALSE))</formula1>
    </dataValidation>
    <dataValidation sqref="E25" showDropDown="0" showInputMessage="0" showErrorMessage="0" allowBlank="1" errorTitle="Valor no válido" error="Elija un valor de la lista" type="list">
      <formula1>=INDIRECT(VLOOKUP($D$25,EM_SECMAP,2,FALSE))</formula1>
    </dataValidation>
    <dataValidation sqref="E26" showDropDown="0" showInputMessage="0" showErrorMessage="0" allowBlank="1" errorTitle="Valor no válido" error="Elija un valor de la lista" type="list">
      <formula1>=INDIRECT(VLOOKUP($D$26,EM_SECMAP,2,FALSE))</formula1>
    </dataValidation>
    <dataValidation sqref="E27" showDropDown="0" showInputMessage="0" showErrorMessage="0" allowBlank="1" errorTitle="Valor no válido" error="Elija un valor de la lista" type="list">
      <formula1>=INDIRECT(VLOOKUP($D$27,EM_SECMAP,2,FALSE))</formula1>
    </dataValidation>
    <dataValidation sqref="E28" showDropDown="0" showInputMessage="0" showErrorMessage="0" allowBlank="1" errorTitle="Valor no válido" error="Elija un valor de la lista" type="list">
      <formula1>=INDIRECT(VLOOKUP($D$28,EM_SECMAP,2,FALSE))</formula1>
    </dataValidation>
    <dataValidation sqref="E29" showDropDown="0" showInputMessage="0" showErrorMessage="0" allowBlank="1" errorTitle="Valor no válido" error="Elija un valor de la lista" type="list">
      <formula1>=INDIRECT(VLOOKUP($D$29,EM_SECMAP,2,FALSE))</formula1>
    </dataValidation>
    <dataValidation sqref="E30" showDropDown="0" showInputMessage="0" showErrorMessage="0" allowBlank="1" errorTitle="Valor no válido" error="Elija un valor de la lista" type="list">
      <formula1>=INDIRECT(VLOOKUP($D$30,EM_SECMAP,2,FALSE))</formula1>
    </dataValidation>
    <dataValidation sqref="E31" showDropDown="0" showInputMessage="0" showErrorMessage="0" allowBlank="1" errorTitle="Valor no válido" error="Elija un valor de la lista" type="list">
      <formula1>=INDIRECT(VLOOKUP($D$31,EM_SECMAP,2,FALSE))</formula1>
    </dataValidation>
    <dataValidation sqref="E32" showDropDown="0" showInputMessage="0" showErrorMessage="0" allowBlank="1" errorTitle="Valor no válido" error="Elija un valor de la lista" type="list">
      <formula1>=INDIRECT(VLOOKUP($D$32,EM_SECMAP,2,FALSE))</formula1>
    </dataValidation>
    <dataValidation sqref="E33" showDropDown="0" showInputMessage="0" showErrorMessage="0" allowBlank="1" errorTitle="Valor no válido" error="Elija un valor de la lista" type="list">
      <formula1>=INDIRECT(VLOOKUP($D$33,EM_SECMAP,2,FALSE))</formula1>
    </dataValidation>
    <dataValidation sqref="E34" showDropDown="0" showInputMessage="0" showErrorMessage="0" allowBlank="1" errorTitle="Valor no válido" error="Elija un valor de la lista" type="list">
      <formula1>=INDIRECT(VLOOKUP($D$34,EM_SECMAP,2,FALSE))</formula1>
    </dataValidation>
    <dataValidation sqref="E35" showDropDown="0" showInputMessage="0" showErrorMessage="0" allowBlank="1" errorTitle="Valor no válido" error="Elija un valor de la lista" type="list">
      <formula1>=INDIRECT(VLOOKUP($D$35,EM_SECMAP,2,FALSE))</formula1>
    </dataValidation>
    <dataValidation sqref="E36" showDropDown="0" showInputMessage="0" showErrorMessage="0" allowBlank="1" errorTitle="Valor no válido" error="Elija un valor de la lista" type="list">
      <formula1>=INDIRECT(VLOOKUP($D$36,EM_SECMAP,2,FALSE))</formula1>
    </dataValidation>
    <dataValidation sqref="E37" showDropDown="0" showInputMessage="0" showErrorMessage="0" allowBlank="1" errorTitle="Valor no válido" error="Elija un valor de la lista" type="list">
      <formula1>=INDIRECT(VLOOKUP($D$37,EM_SECMAP,2,FALSE))</formula1>
    </dataValidation>
    <dataValidation sqref="E38" showDropDown="0" showInputMessage="0" showErrorMessage="0" allowBlank="1" errorTitle="Valor no válido" error="Elija un valor de la lista" type="list">
      <formula1>=INDIRECT(VLOOKUP($D$38,EM_SECMAP,2,FALSE))</formula1>
    </dataValidation>
  </dataValidations>
  <printOptions horizontalCentered="1"/>
  <pageMargins left="0.5" right="0.5" top="0.6" bottom="0.6" header="0.3" footer="0.3"/>
  <pageSetup orientation="landscape" paperSize="9" fitToHeight="0" fitToWidth="1"/>
  <headerFooter>
    <oddHeader>&amp;L&amp;"Times New Roman,Regular"&amp;7 ALF_BIM · Calculadoras IIEE ALF · Cuadro de iluminación&amp;R&amp;"Times New Roman,Regular"&amp;7 Página &amp;P de &amp;N</oddHeader>
    <oddFooter>&amp;L&amp;"Times New Roman,Regular"&amp;7 www.alfbim.com · Herramienta gratuita de apoyo. Los resultados deben ser revisados por un ingeniero electricista o mecánico electricista colegiado.&amp;R&amp;"Times New Roman,Regular"&amp;7 &amp;A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2F7DF6"/>
    <outlinePr summaryBelow="1" summaryRight="1"/>
    <pageSetUpPr fitToPage="1"/>
  </sheetPr>
  <dimension ref="B1:S106"/>
  <sheetViews>
    <sheetView showGridLines="0" tabSelected="0" zoomScale="110" workbookViewId="0">
      <selection activeCell="A1" sqref="A1"/>
    </sheetView>
  </sheetViews>
  <sheetFormatPr baseColWidth="8" defaultRowHeight="15"/>
  <cols>
    <col width="1.5" customWidth="1" min="1" max="1"/>
    <col width="40" customWidth="1" min="2" max="2"/>
    <col width="8" customWidth="1" min="3" max="3"/>
    <col width="12" customWidth="1" min="4" max="4"/>
    <col width="8" customWidth="1" min="5" max="5"/>
    <col width="11" customWidth="1" min="6" max="6"/>
    <col width="11" customWidth="1" min="7" max="7"/>
    <col width="20" customWidth="1" min="8" max="8"/>
  </cols>
  <sheetData>
    <row r="1" ht="24" customHeight="1">
      <c r="B1" s="17" t="inlineStr">
        <is>
          <t>CAÍDA DE TENSIÓN Y SECCIÓN DEL CONDUCTOR</t>
        </is>
      </c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</row>
    <row r="2" ht="15" customHeight="1">
      <c r="B2" s="19" t="inlineStr">
        <is>
          <t>ALF_BIM · Calculadoras IIEE ALF · CNE-U Regla 050-102 · Tabla 2 · Tablas 5A y 5C · v1.0.0</t>
        </is>
      </c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</row>
    <row r="3">
      <c r="B3" s="20" t="inlineStr">
        <is>
          <t>Proyecto</t>
        </is>
      </c>
      <c r="C3" s="21">
        <f>INICIO!$D$7</f>
        <v/>
      </c>
      <c r="D3" s="22" t="n"/>
      <c r="E3" s="22" t="n"/>
      <c r="F3" s="22" t="n"/>
      <c r="G3" s="22" t="n"/>
      <c r="H3" s="22" t="n"/>
      <c r="J3" s="18" t="n"/>
      <c r="K3" s="18" t="n"/>
      <c r="L3" s="18" t="n"/>
      <c r="M3" s="18" t="n"/>
      <c r="N3" s="18" t="n"/>
      <c r="O3" s="18" t="n"/>
      <c r="P3" s="18" t="n"/>
      <c r="Q3" s="18" t="n"/>
      <c r="R3" s="18" t="n"/>
      <c r="S3" s="18" t="n"/>
    </row>
    <row r="4">
      <c r="B4" s="20" t="inlineStr">
        <is>
          <t>Ubicación</t>
        </is>
      </c>
      <c r="C4" s="21">
        <f>INICIO!$D$9</f>
        <v/>
      </c>
      <c r="D4" s="22" t="n"/>
      <c r="E4" s="22" t="n"/>
      <c r="F4" s="22" t="n"/>
      <c r="G4" s="22" t="n"/>
      <c r="H4" s="22" t="n"/>
      <c r="J4" s="18" t="n"/>
      <c r="K4" s="18" t="n"/>
      <c r="L4" s="18" t="n"/>
      <c r="M4" s="18" t="n"/>
      <c r="N4" s="18" t="n"/>
      <c r="O4" s="18" t="n"/>
      <c r="P4" s="18" t="n"/>
      <c r="Q4" s="18" t="n"/>
      <c r="R4" s="18" t="n"/>
      <c r="S4" s="18" t="n"/>
    </row>
    <row r="5">
      <c r="B5" s="20" t="inlineStr">
        <is>
          <t>Circuito</t>
        </is>
      </c>
      <c r="C5" s="23" t="inlineStr">
        <is>
          <t>ALIMENTADOR DEL TABLERO GENERAL TG AL TABLERO DE DISTRIBUCIÓN TD-1 (EJEMPLO)</t>
        </is>
      </c>
      <c r="D5" s="22" t="n"/>
      <c r="E5" s="22" t="n"/>
      <c r="F5" s="22" t="n"/>
      <c r="G5" s="22" t="n"/>
      <c r="H5" s="22" t="n"/>
      <c r="J5" s="18" t="n"/>
      <c r="K5" s="18" t="n"/>
      <c r="L5" s="18" t="n"/>
      <c r="M5" s="18" t="n"/>
      <c r="N5" s="18" t="n"/>
      <c r="O5" s="18" t="n"/>
      <c r="P5" s="18" t="n"/>
      <c r="Q5" s="18" t="n"/>
      <c r="R5" s="18" t="n"/>
      <c r="S5" s="18" t="n"/>
    </row>
    <row r="6">
      <c r="B6" s="20" t="inlineStr">
        <is>
          <t>Proyectista</t>
        </is>
      </c>
      <c r="C6" s="21">
        <f>INICIO!$D$10&amp;IF(INICIO!$D$11="",""," · CIP "&amp;INICIO!$D$11)</f>
        <v/>
      </c>
      <c r="D6" s="22" t="n"/>
      <c r="E6" s="22" t="n"/>
      <c r="F6" s="22" t="n"/>
      <c r="G6" s="22" t="n"/>
      <c r="H6" s="22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</row>
    <row r="7">
      <c r="B7" s="20" t="inlineStr">
        <is>
          <t>Fecha</t>
        </is>
      </c>
      <c r="C7" s="24">
        <f>INICIO!$D$12</f>
        <v/>
      </c>
      <c r="D7" s="22" t="n"/>
      <c r="E7" s="22" t="n"/>
      <c r="F7" s="22" t="n"/>
      <c r="G7" s="22" t="n"/>
      <c r="H7" s="22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8" t="n"/>
    </row>
    <row r="8"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</row>
    <row r="9"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</row>
    <row r="10" ht="17" customHeight="1">
      <c r="B10" s="25" t="inlineStr">
        <is>
          <t>1. DATOS DEL CIRCUITO</t>
        </is>
      </c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</row>
    <row r="11" ht="13.5" customHeight="1">
      <c r="B11" s="9" t="inlineStr">
        <is>
          <t>Tipo de tramo</t>
        </is>
      </c>
      <c r="C11" s="26" t="inlineStr"/>
      <c r="D11" s="27" t="inlineStr">
        <is>
          <t>Alimentador</t>
        </is>
      </c>
      <c r="E11" s="28" t="n"/>
      <c r="F11" s="28" t="n"/>
      <c r="G11" s="28" t="n"/>
      <c r="H11" s="2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n"/>
    </row>
    <row r="12" ht="13.5" customHeight="1">
      <c r="B12" s="9" t="inlineStr">
        <is>
          <t>Sistema</t>
        </is>
      </c>
      <c r="C12" s="26" t="inlineStr"/>
      <c r="D12" s="27" t="inlineStr">
        <is>
          <t>Monofásico 220 V</t>
        </is>
      </c>
      <c r="E12" s="28" t="n"/>
      <c r="F12" s="28" t="n"/>
      <c r="G12" s="28" t="n"/>
      <c r="H12" s="28" t="n"/>
      <c r="J12" s="18" t="n"/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</row>
    <row r="13" ht="24" customHeight="1">
      <c r="B13" s="9" t="inlineStr">
        <is>
          <t>Potencia de la carga (máxima demanda del tramo)</t>
        </is>
      </c>
      <c r="C13" s="26" t="inlineStr">
        <is>
          <t>P</t>
        </is>
      </c>
      <c r="D13" s="61" t="n">
        <v>9500</v>
      </c>
      <c r="E13" s="30" t="inlineStr">
        <is>
          <t>W</t>
        </is>
      </c>
      <c r="F13" s="31" t="inlineStr">
        <is>
          <t>De la máxima demanda (MaximaDemandaALF) o del cuadro de cargas</t>
        </is>
      </c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</row>
    <row r="14" ht="13.5" customHeight="1">
      <c r="B14" s="9" t="inlineStr">
        <is>
          <t>Factor de potencia</t>
        </is>
      </c>
      <c r="C14" s="26" t="inlineStr">
        <is>
          <t>cos φ</t>
        </is>
      </c>
      <c r="D14" s="29" t="n">
        <v>0.9</v>
      </c>
      <c r="E14" s="30" t="inlineStr"/>
      <c r="J14" s="18" t="n"/>
      <c r="K14" s="18" t="n"/>
      <c r="L14" s="18" t="n"/>
      <c r="M14" s="18" t="n"/>
      <c r="N14" s="18" t="n"/>
      <c r="O14" s="18" t="n"/>
      <c r="P14" s="18" t="n"/>
      <c r="Q14" s="18" t="n"/>
      <c r="R14" s="18" t="n"/>
      <c r="S14" s="18" t="n"/>
    </row>
    <row r="15" ht="13.5" customHeight="1">
      <c r="B15" s="9" t="inlineStr">
        <is>
          <t>Corriente conocida (opcional, reemplaza a P)</t>
        </is>
      </c>
      <c r="C15" s="26" t="inlineStr">
        <is>
          <t>Iman</t>
        </is>
      </c>
      <c r="D15" s="29" t="n"/>
      <c r="E15" s="30" t="inlineStr">
        <is>
          <t>A</t>
        </is>
      </c>
      <c r="F15" s="31" t="inlineStr">
        <is>
          <t>Por ejemplo, la corriente de placa de un motor</t>
        </is>
      </c>
      <c r="J15" s="18" t="n"/>
      <c r="K15" s="18" t="n"/>
      <c r="L15" s="18" t="n"/>
      <c r="M15" s="18" t="n"/>
      <c r="N15" s="18" t="n"/>
      <c r="O15" s="18" t="n"/>
      <c r="P15" s="18" t="n"/>
      <c r="Q15" s="18" t="n"/>
      <c r="R15" s="18" t="n"/>
      <c r="S15" s="18" t="n"/>
    </row>
    <row r="16" ht="24" customHeight="1">
      <c r="B16" s="9" t="inlineStr">
        <is>
          <t>Longitud del tramo (hasta la carga o la salida más lejana)</t>
        </is>
      </c>
      <c r="C16" s="26" t="inlineStr">
        <is>
          <t>L</t>
        </is>
      </c>
      <c r="D16" s="29" t="n">
        <v>32</v>
      </c>
      <c r="E16" s="30" t="inlineStr">
        <is>
          <t>m</t>
        </is>
      </c>
      <c r="J16" s="18" t="n"/>
      <c r="K16" s="18" t="n"/>
      <c r="L16" s="18" t="n"/>
      <c r="M16" s="18" t="n"/>
      <c r="N16" s="18" t="n"/>
      <c r="O16" s="18" t="n"/>
      <c r="P16" s="18" t="n"/>
      <c r="Q16" s="18" t="n"/>
      <c r="R16" s="18" t="n"/>
      <c r="S16" s="18" t="n"/>
    </row>
    <row r="17" ht="13.5" customHeight="1">
      <c r="B17" s="9" t="inlineStr">
        <is>
          <t>Método de instalación</t>
        </is>
      </c>
      <c r="C17" s="26" t="inlineStr"/>
      <c r="D17" s="27" t="inlineStr">
        <is>
          <t>B1 · Unipolares en tubo empotrado o sobre pared (lo usual en edificaciones)</t>
        </is>
      </c>
      <c r="E17" s="28" t="n"/>
      <c r="F17" s="28" t="n"/>
      <c r="G17" s="28" t="n"/>
      <c r="H17" s="28" t="n"/>
      <c r="J17" s="18" t="n"/>
      <c r="K17" s="18" t="n"/>
      <c r="L17" s="18" t="n"/>
      <c r="M17" s="18" t="n"/>
      <c r="N17" s="18" t="n"/>
      <c r="O17" s="18" t="n"/>
      <c r="P17" s="18" t="n"/>
      <c r="Q17" s="18" t="n"/>
      <c r="R17" s="18" t="n"/>
      <c r="S17" s="18" t="n"/>
    </row>
    <row r="18" ht="24" customHeight="1">
      <c r="B18" s="9" t="inlineStr">
        <is>
          <t>Temperatura ambiente (o del terreno en el método D)</t>
        </is>
      </c>
      <c r="C18" s="26" t="inlineStr">
        <is>
          <t>T</t>
        </is>
      </c>
      <c r="D18" s="53" t="n">
        <v>30</v>
      </c>
      <c r="E18" s="30" t="inlineStr">
        <is>
          <t>°C</t>
        </is>
      </c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  <c r="S18" s="18" t="n"/>
    </row>
    <row r="19" ht="24" customHeight="1">
      <c r="B19" s="9" t="inlineStr">
        <is>
          <t>Circuitos agrupados en el mismo tubo (incluido este)</t>
        </is>
      </c>
      <c r="C19" s="26" t="inlineStr"/>
      <c r="D19" s="53" t="n">
        <v>1</v>
      </c>
      <c r="E19" s="30" t="inlineStr"/>
      <c r="F19" s="31" t="inlineStr">
        <is>
          <t>Tabla 5C, ítem 1: hasta 20 circuitos</t>
        </is>
      </c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</row>
    <row r="20" ht="24" customHeight="1">
      <c r="B20" s="9" t="inlineStr">
        <is>
          <t>Sección mínima del proyectista</t>
        </is>
      </c>
      <c r="C20" s="26" t="inlineStr">
        <is>
          <t>Smín</t>
        </is>
      </c>
      <c r="D20" s="52" t="n">
        <v>4</v>
      </c>
      <c r="E20" s="30" t="inlineStr">
        <is>
          <t>mm²</t>
        </is>
      </c>
      <c r="F20" s="31" t="inlineStr">
        <is>
          <t>030-002: 2.5 mm² en circuitos derivados de fuerza y alumbrado</t>
        </is>
      </c>
      <c r="J20" s="18" t="n"/>
      <c r="K20" s="18" t="n"/>
      <c r="L20" s="18" t="n"/>
      <c r="M20" s="18" t="n"/>
      <c r="N20" s="18" t="n"/>
      <c r="O20" s="18" t="n"/>
      <c r="P20" s="18" t="n"/>
      <c r="Q20" s="18" t="n"/>
      <c r="R20" s="18" t="n"/>
      <c r="S20" s="18" t="n"/>
    </row>
    <row r="21" ht="13.5" customHeight="1">
      <c r="B21" s="9" t="inlineStr">
        <is>
          <t>ITM mínimo (opcional)</t>
        </is>
      </c>
      <c r="C21" s="26" t="inlineStr"/>
      <c r="D21" s="53" t="n"/>
      <c r="E21" s="30" t="inlineStr">
        <is>
          <t>A</t>
        </is>
      </c>
      <c r="F21" s="31" t="inlineStr">
        <is>
          <t>Por ejemplo, 16 A alumbrado y 20 A tomacorrientes</t>
        </is>
      </c>
      <c r="J21" s="18" t="n"/>
      <c r="K21" s="18" t="n"/>
      <c r="L21" s="18" t="n"/>
      <c r="M21" s="18" t="n"/>
      <c r="N21" s="18" t="n"/>
      <c r="O21" s="18" t="n"/>
      <c r="P21" s="18" t="n"/>
      <c r="Q21" s="18" t="n"/>
      <c r="R21" s="18" t="n"/>
      <c r="S21" s="18" t="n"/>
    </row>
    <row r="22" ht="24" customHeight="1">
      <c r="B22" s="9" t="inlineStr">
        <is>
          <t>Resistividad del conductor (cobre)</t>
        </is>
      </c>
      <c r="C22" s="26" t="inlineStr">
        <is>
          <t>ρ</t>
        </is>
      </c>
      <c r="D22" s="62" t="n">
        <v>0.0175</v>
      </c>
      <c r="E22" s="30" t="inlineStr">
        <is>
          <t>Ω·mm²/m</t>
        </is>
      </c>
      <c r="F22" s="31" t="inlineStr">
        <is>
          <t>0.0175 a 20 °C (usual en el Perú); 0.0225 a 70 °C (IEC 60364-5-52, más conservador)</t>
        </is>
      </c>
      <c r="J22" s="18" t="n"/>
      <c r="K22" s="18" t="n"/>
      <c r="L22" s="18" t="n"/>
      <c r="M22" s="18" t="n"/>
      <c r="N22" s="18" t="n"/>
      <c r="O22" s="18" t="n"/>
      <c r="P22" s="18" t="n"/>
      <c r="Q22" s="18" t="n"/>
      <c r="R22" s="18" t="n"/>
      <c r="S22" s="18" t="n"/>
    </row>
    <row r="23" ht="13.5" customHeight="1">
      <c r="B23" s="9" t="inlineStr">
        <is>
          <t>Reactancia del conductor (opcional)</t>
        </is>
      </c>
      <c r="C23" s="26" t="inlineStr">
        <is>
          <t>X</t>
        </is>
      </c>
      <c r="D23" s="63" t="n">
        <v>0</v>
      </c>
      <c r="E23" s="30" t="inlineStr">
        <is>
          <t>Ω/km</t>
        </is>
      </c>
      <c r="F23" s="31" t="inlineStr">
        <is>
          <t>≈ 0.08 Ω/km en tubo; recomendable desde 35 mm²</t>
        </is>
      </c>
      <c r="J23" s="18" t="n"/>
      <c r="K23" s="18" t="n"/>
      <c r="L23" s="18" t="n"/>
      <c r="M23" s="18" t="n"/>
      <c r="N23" s="18" t="n"/>
      <c r="O23" s="18" t="n"/>
      <c r="P23" s="18" t="n"/>
      <c r="Q23" s="18" t="n"/>
      <c r="R23" s="18" t="n"/>
      <c r="S23" s="18" t="n"/>
    </row>
    <row r="24" ht="24" customHeight="1">
      <c r="B24" s="9" t="inlineStr">
        <is>
          <t>Límite de caída del tramo del proyectista (opcional)</t>
        </is>
      </c>
      <c r="C24" s="26" t="inlineStr"/>
      <c r="D24" s="29" t="n"/>
      <c r="E24" s="30" t="inlineStr">
        <is>
          <t>%</t>
        </is>
      </c>
      <c r="F24" s="31" t="inlineStr">
        <is>
          <t>Si se deja vacío: el del tipo de tramo (050-102)</t>
        </is>
      </c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</row>
    <row r="25" ht="24" customHeight="1">
      <c r="B25" s="9" t="inlineStr">
        <is>
          <t>Caída acumulada aguas arriba (alimentadores previos)</t>
        </is>
      </c>
      <c r="C25" s="26" t="inlineStr">
        <is>
          <t>ΔVprev</t>
        </is>
      </c>
      <c r="D25" s="29" t="n">
        <v>0</v>
      </c>
      <c r="E25" s="30" t="inlineStr">
        <is>
          <t>%</t>
        </is>
      </c>
      <c r="F25" s="31" t="inlineStr">
        <is>
          <t>0 si el tramo sale del medidor</t>
        </is>
      </c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</row>
    <row r="26" ht="13.5" customHeight="1">
      <c r="B26" s="9" t="inlineStr">
        <is>
          <t>Tipo de conductor</t>
        </is>
      </c>
      <c r="C26" s="26" t="inlineStr"/>
      <c r="D26" s="27" t="inlineStr">
        <is>
          <t>NH-80</t>
        </is>
      </c>
      <c r="E26" s="28" t="n"/>
      <c r="F26" s="28" t="n"/>
      <c r="G26" s="28" t="n"/>
      <c r="H26" s="2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</row>
    <row r="27"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</row>
    <row r="28" ht="17" customHeight="1">
      <c r="B28" s="25" t="inlineStr">
        <is>
          <t>2. CORRIENTE Y PROTECCIÓN</t>
        </is>
      </c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</row>
    <row r="29" hidden="1" ht="13.5" customHeight="1">
      <c r="B29" s="9" t="inlineStr">
        <is>
          <t>Fila del sistema</t>
        </is>
      </c>
      <c r="C29" s="26" t="inlineStr"/>
      <c r="D29" s="36">
        <f>MATCH($D$12,SIS_NOM,0)</f>
        <v/>
      </c>
      <c r="E29" s="30" t="inlineStr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</row>
    <row r="30" ht="13.5" customHeight="1">
      <c r="B30" s="9" t="inlineStr">
        <is>
          <t>Tensión del sistema</t>
        </is>
      </c>
      <c r="C30" s="26" t="inlineStr">
        <is>
          <t>V</t>
        </is>
      </c>
      <c r="D30" s="36">
        <f>INDEX(SIS_V,$D$29)</f>
        <v/>
      </c>
      <c r="E30" s="30" t="inlineStr">
        <is>
          <t>V</t>
        </is>
      </c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</row>
    <row r="31" ht="24" customHeight="1">
      <c r="B31" s="9" t="inlineStr">
        <is>
          <t>Constante de corriente (1 monofásico; √3 trifásico)</t>
        </is>
      </c>
      <c r="C31" s="26" t="inlineStr">
        <is>
          <t>k</t>
        </is>
      </c>
      <c r="D31" s="64">
        <f>INDEX(SIS_K,$D$29)</f>
        <v/>
      </c>
      <c r="E31" s="30" t="inlineStr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  <c r="S31" s="18" t="n"/>
    </row>
    <row r="32" ht="13.5" customHeight="1">
      <c r="B32" s="9" t="inlineStr">
        <is>
          <t>Constante de caída (2 monofásico; √3 trifásico)</t>
        </is>
      </c>
      <c r="C32" s="26" t="inlineStr">
        <is>
          <t>k'</t>
        </is>
      </c>
      <c r="D32" s="64">
        <f>INDEX(SIS_K2,$D$29)</f>
        <v/>
      </c>
      <c r="E32" s="30" t="inlineStr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  <c r="S32" s="18" t="n"/>
    </row>
    <row r="33" ht="13.5" customHeight="1">
      <c r="B33" s="9" t="inlineStr">
        <is>
          <t>Conductores cargados</t>
        </is>
      </c>
      <c r="C33" s="26" t="inlineStr"/>
      <c r="D33" s="36">
        <f>INDEX(SIS_CARG,$D$29)</f>
        <v/>
      </c>
      <c r="E33" s="30" t="inlineStr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/>
    </row>
    <row r="34" ht="13.5" customHeight="1">
      <c r="B34" s="9" t="inlineStr">
        <is>
          <t>Corriente de la carga  I = P/(k·V·cos φ)</t>
        </is>
      </c>
      <c r="C34" s="26" t="inlineStr">
        <is>
          <t>I</t>
        </is>
      </c>
      <c r="D34" s="43">
        <f>IF(N($D$15)&gt;0,$D$15,$D$13/($D$31*$D$30*$D$14))</f>
        <v/>
      </c>
      <c r="E34" s="30" t="inlineStr">
        <is>
          <t>A</t>
        </is>
      </c>
      <c r="J34" s="18" t="n"/>
      <c r="K34" s="18" t="n"/>
      <c r="L34" s="18" t="n"/>
      <c r="M34" s="18" t="n"/>
      <c r="N34" s="18" t="n"/>
      <c r="O34" s="18" t="n"/>
      <c r="P34" s="18" t="n"/>
      <c r="Q34" s="18" t="n"/>
      <c r="R34" s="18" t="n"/>
      <c r="S34" s="18" t="n"/>
    </row>
    <row r="35" ht="13.5" customHeight="1">
      <c r="B35" s="9" t="inlineStr">
        <is>
          <t>Corriente de diseño  Id = 1.25·I</t>
        </is>
      </c>
      <c r="C35" s="26" t="inlineStr">
        <is>
          <t>Id</t>
        </is>
      </c>
      <c r="D35" s="43">
        <f>1.25*$D$34</f>
        <v/>
      </c>
      <c r="E35" s="30" t="inlineStr">
        <is>
          <t>A</t>
        </is>
      </c>
      <c r="F35" s="31" t="inlineStr">
        <is>
          <t>050-104: carga continua al 80 % del dispositivo</t>
        </is>
      </c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</row>
    <row r="36" ht="13.5" customHeight="1">
      <c r="B36" s="39" t="inlineStr">
        <is>
          <t>INTERRUPTOR TERMOMAGNÉTICO  In ≥ Id</t>
        </is>
      </c>
      <c r="C36" s="26" t="inlineStr">
        <is>
          <t>In</t>
        </is>
      </c>
      <c r="D36" s="49">
        <f>INDEX(ITM,MIN(COUNT(ITM),COUNTIF(ITM,"&lt;"&amp;MAX($D$35,N($D$21))-0.000001)+1))</f>
        <v/>
      </c>
      <c r="E36" s="30" t="inlineStr">
        <is>
          <t>A</t>
        </is>
      </c>
      <c r="J36" s="18" t="n"/>
      <c r="K36" s="18" t="n"/>
      <c r="L36" s="18" t="n"/>
      <c r="M36" s="18" t="n"/>
      <c r="N36" s="18" t="n"/>
      <c r="O36" s="18" t="n"/>
      <c r="P36" s="18" t="n"/>
      <c r="Q36" s="18" t="n"/>
      <c r="R36" s="18" t="n"/>
      <c r="S36" s="18" t="n"/>
    </row>
    <row r="37" ht="13.5" customHeight="1">
      <c r="B37" s="9" t="inlineStr">
        <is>
          <t>Existe un ITM normalizado ≥ Id (hasta 630 A)</t>
        </is>
      </c>
      <c r="C37" s="42">
        <f>IF($D$36&gt;=$D$35-0.000001,"CUMPLE","NO CUMPLE")</f>
        <v/>
      </c>
      <c r="D37" s="38" t="n"/>
      <c r="E37" s="38" t="n"/>
      <c r="J37" s="18" t="n"/>
      <c r="K37" s="18" t="n"/>
      <c r="L37" s="18" t="n"/>
      <c r="M37" s="18" t="n"/>
      <c r="N37" s="18" t="n"/>
      <c r="O37" s="18" t="n"/>
      <c r="P37" s="18" t="n"/>
      <c r="Q37" s="18" t="n"/>
      <c r="R37" s="18" t="n"/>
      <c r="S37" s="18" t="n"/>
    </row>
    <row r="38" ht="13.5" customHeight="1">
      <c r="B38" s="9" t="inlineStr">
        <is>
          <t>Capacidad requerida del conductor  máx(In, Id)</t>
        </is>
      </c>
      <c r="C38" s="26" t="inlineStr">
        <is>
          <t>Ireq</t>
        </is>
      </c>
      <c r="D38" s="43">
        <f>MAX($D$36,$D$35)</f>
        <v/>
      </c>
      <c r="E38" s="30" t="inlineStr">
        <is>
          <t>A</t>
        </is>
      </c>
      <c r="J38" s="18" t="n"/>
      <c r="K38" s="18" t="n"/>
      <c r="L38" s="18" t="n"/>
      <c r="M38" s="18" t="n"/>
      <c r="N38" s="18" t="n"/>
      <c r="O38" s="18" t="n"/>
      <c r="P38" s="18" t="n"/>
      <c r="Q38" s="18" t="n"/>
      <c r="R38" s="18" t="n"/>
      <c r="S38" s="18" t="n"/>
    </row>
    <row r="39">
      <c r="J39" s="18" t="n"/>
      <c r="K39" s="18" t="n"/>
      <c r="L39" s="18" t="n"/>
      <c r="M39" s="18" t="n"/>
      <c r="N39" s="18" t="n"/>
      <c r="O39" s="18" t="n"/>
      <c r="P39" s="18" t="n"/>
      <c r="Q39" s="18" t="n"/>
      <c r="R39" s="18" t="n"/>
      <c r="S39" s="18" t="n"/>
    </row>
    <row r="40" ht="17" customHeight="1">
      <c r="B40" s="25" t="inlineStr">
        <is>
          <t>3. CAPACIDAD DE CORRIENTE (CNE-U Tabla 2 · Tabla 5A · Tabla 5C)</t>
        </is>
      </c>
      <c r="J40" s="18" t="n"/>
      <c r="K40" s="18" t="n"/>
      <c r="L40" s="18" t="n"/>
      <c r="M40" s="18" t="n"/>
      <c r="N40" s="18" t="n"/>
      <c r="O40" s="18" t="n"/>
      <c r="P40" s="18" t="n"/>
      <c r="Q40" s="18" t="n"/>
      <c r="R40" s="18" t="n"/>
      <c r="S40" s="18" t="n"/>
    </row>
    <row r="41" hidden="1" ht="13.5" customHeight="1">
      <c r="B41" s="9" t="inlineStr">
        <is>
          <t>Método (fila)</t>
        </is>
      </c>
      <c r="C41" s="26" t="inlineStr"/>
      <c r="D41" s="36">
        <f>MATCH($D$17,MET_DESC,0)</f>
        <v/>
      </c>
      <c r="E41" s="30" t="inlineStr"/>
      <c r="J41" s="18" t="n"/>
      <c r="K41" s="18" t="n"/>
      <c r="L41" s="18" t="n"/>
      <c r="M41" s="18" t="n"/>
      <c r="N41" s="18" t="n"/>
      <c r="O41" s="18" t="n"/>
      <c r="P41" s="18" t="n"/>
      <c r="Q41" s="18" t="n"/>
      <c r="R41" s="18" t="n"/>
      <c r="S41" s="18" t="n"/>
    </row>
    <row r="42" hidden="1" ht="13.5" customHeight="1">
      <c r="B42" s="9" t="inlineStr">
        <is>
          <t>Columna de la Tabla 2</t>
        </is>
      </c>
      <c r="C42" s="26" t="inlineStr"/>
      <c r="D42" s="36">
        <f>($D$41-1)*2+IF($D$33=3,2,1)</f>
        <v/>
      </c>
      <c r="E42" s="30" t="inlineStr"/>
      <c r="J42" s="18" t="n"/>
      <c r="K42" s="18" t="n"/>
      <c r="L42" s="18" t="n"/>
      <c r="M42" s="18" t="n"/>
      <c r="N42" s="18" t="n"/>
      <c r="O42" s="18" t="n"/>
      <c r="P42" s="18" t="n"/>
      <c r="Q42" s="18" t="n"/>
      <c r="R42" s="18" t="n"/>
      <c r="S42" s="18" t="n"/>
    </row>
    <row r="43" ht="13.5" customHeight="1">
      <c r="B43" s="9" t="inlineStr">
        <is>
          <t>Método y conductores cargados</t>
        </is>
      </c>
      <c r="C43" s="26" t="inlineStr"/>
      <c r="D43" s="37">
        <f>INDEX(MET_COD,$D$41)&amp;" · "&amp;$D$33&amp;" conductores cargados"</f>
        <v/>
      </c>
      <c r="E43" s="38" t="n"/>
      <c r="F43" s="38" t="n"/>
      <c r="G43" s="38" t="n"/>
      <c r="H43" s="3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</row>
    <row r="44" ht="13.5" customHeight="1">
      <c r="B44" s="9" t="inlineStr">
        <is>
          <t>Factor por temperatura (Tabla 5A)</t>
        </is>
      </c>
      <c r="C44" s="26" t="inlineStr">
        <is>
          <t>Ft</t>
        </is>
      </c>
      <c r="D44" s="43">
        <f>IF(INDEX(MET_COD,$D$41)="D",INDEX(FT_TER,MATCH($D$18,FT_T,0)),INDEX(FT_AIR,MATCH($D$18,FT_T,0)))</f>
        <v/>
      </c>
      <c r="E44" s="30" t="inlineStr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</row>
    <row r="45" ht="24" customHeight="1">
      <c r="B45" s="9" t="inlineStr">
        <is>
          <t>Factor por agrupamiento (Tabla 5C, ítem 1)</t>
        </is>
      </c>
      <c r="C45" s="26" t="inlineStr">
        <is>
          <t>Fa</t>
        </is>
      </c>
      <c r="D45" s="43">
        <f>INDEX(FA_F,MIN(COUNT(FA_N),COUNTIF(FA_N,"&lt;"&amp;$D$19)+1))</f>
        <v/>
      </c>
      <c r="E45" s="30" t="inlineStr"/>
      <c r="F45" s="31" t="inlineStr">
        <is>
          <t>En ductos enterrados verifique el factor de la tabla correspondiente</t>
        </is>
      </c>
      <c r="J45" s="18" t="n"/>
      <c r="K45" s="18" t="n"/>
      <c r="L45" s="18" t="n"/>
      <c r="M45" s="18" t="n"/>
      <c r="N45" s="18" t="n"/>
      <c r="O45" s="18" t="n"/>
      <c r="P45" s="18" t="n"/>
      <c r="Q45" s="18" t="n"/>
      <c r="R45" s="18" t="n"/>
      <c r="S45" s="18" t="n"/>
    </row>
    <row r="46" ht="13.5" customHeight="1">
      <c r="B46" s="9" t="inlineStr">
        <is>
          <t>Factor total</t>
        </is>
      </c>
      <c r="C46" s="26" t="inlineStr">
        <is>
          <t>F</t>
        </is>
      </c>
      <c r="D46" s="43">
        <f>$D$44*$D$45</f>
        <v/>
      </c>
      <c r="E46" s="30" t="inlineStr"/>
      <c r="J46" s="18" t="n"/>
      <c r="K46" s="18" t="n"/>
      <c r="L46" s="18" t="n"/>
      <c r="M46" s="18" t="n"/>
      <c r="N46" s="18" t="n"/>
      <c r="O46" s="18" t="n"/>
      <c r="P46" s="18" t="n"/>
      <c r="Q46" s="18" t="n"/>
      <c r="R46" s="18" t="n"/>
      <c r="S46" s="18" t="n"/>
    </row>
    <row r="47" ht="13.5" customHeight="1">
      <c r="B47" s="9" t="inlineStr">
        <is>
          <t>Capacidad mínima en la Tabla 2  Ireq/F</t>
        </is>
      </c>
      <c r="C47" s="26" t="inlineStr">
        <is>
          <t>Iz,mín</t>
        </is>
      </c>
      <c r="D47" s="43">
        <f>$D$38/$D$46</f>
        <v/>
      </c>
      <c r="E47" s="30" t="inlineStr">
        <is>
          <t>A</t>
        </is>
      </c>
      <c r="J47" s="18" t="n"/>
      <c r="K47" s="18" t="n"/>
      <c r="L47" s="18" t="n"/>
      <c r="M47" s="18" t="n"/>
      <c r="N47" s="18" t="n"/>
      <c r="O47" s="18" t="n"/>
      <c r="P47" s="18" t="n"/>
      <c r="Q47" s="18" t="n"/>
      <c r="R47" s="18" t="n"/>
      <c r="S47" s="18" t="n"/>
    </row>
    <row r="48" hidden="1" ht="13.5" customHeight="1">
      <c r="B48" s="9" t="inlineStr">
        <is>
          <t>Secciones disponibles en el método</t>
        </is>
      </c>
      <c r="C48" s="26" t="inlineStr"/>
      <c r="D48" s="36">
        <f>COUNT(INDEX(TABLA2,0,$D$42))</f>
        <v/>
      </c>
      <c r="E48" s="30" t="inlineStr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</row>
    <row r="49" hidden="1" ht="13.5" customHeight="1">
      <c r="B49" s="9" t="inlineStr">
        <is>
          <t>Sección máxima de la Tabla 2 en este método</t>
        </is>
      </c>
      <c r="C49" s="26" t="inlineStr"/>
      <c r="D49" s="36">
        <f>INDEX(SECC,$D$48)</f>
        <v/>
      </c>
      <c r="E49" s="30" t="inlineStr">
        <is>
          <t>mm²</t>
        </is>
      </c>
      <c r="J49" s="18" t="n"/>
      <c r="K49" s="18" t="n"/>
      <c r="L49" s="18" t="n"/>
      <c r="M49" s="18" t="n"/>
      <c r="N49" s="18" t="n"/>
      <c r="O49" s="18" t="n"/>
      <c r="P49" s="18" t="n"/>
      <c r="Q49" s="18" t="n"/>
      <c r="R49" s="18" t="n"/>
      <c r="S49" s="18" t="n"/>
    </row>
    <row r="50" hidden="1" ht="13.5" customHeight="1">
      <c r="B50" s="9" t="inlineStr">
        <is>
          <t>Índice por capacidad</t>
        </is>
      </c>
      <c r="C50" s="26" t="inlineStr"/>
      <c r="D50" s="36">
        <f>COUNTIF(INDEX(TABLA2,0,$D$42),"&lt;"&amp;$D$47-0.000001)+1</f>
        <v/>
      </c>
      <c r="E50" s="30" t="inlineStr"/>
      <c r="J50" s="18" t="n"/>
      <c r="K50" s="18" t="n"/>
      <c r="L50" s="18" t="n"/>
      <c r="M50" s="18" t="n"/>
      <c r="N50" s="18" t="n"/>
      <c r="O50" s="18" t="n"/>
      <c r="P50" s="18" t="n"/>
      <c r="Q50" s="18" t="n"/>
      <c r="R50" s="18" t="n"/>
      <c r="S50" s="18" t="n"/>
    </row>
    <row r="51" ht="13.5" customHeight="1">
      <c r="B51" s="9" t="inlineStr">
        <is>
          <t>Sección por capacidad de corriente</t>
        </is>
      </c>
      <c r="C51" s="26" t="inlineStr">
        <is>
          <t>Scap</t>
        </is>
      </c>
      <c r="D51" s="35">
        <f>IF($D$50&gt;$D$48,"Insuficiente",INDEX(SECC,$D$50))</f>
        <v/>
      </c>
      <c r="E51" s="30" t="inlineStr">
        <is>
          <t>mm²</t>
        </is>
      </c>
      <c r="J51" s="18" t="n"/>
      <c r="K51" s="18" t="n"/>
      <c r="L51" s="18" t="n"/>
      <c r="M51" s="18" t="n"/>
      <c r="N51" s="18" t="n"/>
      <c r="O51" s="18" t="n"/>
      <c r="P51" s="18" t="n"/>
      <c r="Q51" s="18" t="n"/>
      <c r="R51" s="18" t="n"/>
      <c r="S51" s="18" t="n"/>
    </row>
    <row r="52">
      <c r="J52" s="18" t="n"/>
      <c r="K52" s="18" t="n"/>
      <c r="L52" s="18" t="n"/>
      <c r="M52" s="18" t="n"/>
      <c r="N52" s="18" t="n"/>
      <c r="O52" s="18" t="n"/>
      <c r="P52" s="18" t="n"/>
      <c r="Q52" s="18" t="n"/>
      <c r="R52" s="18" t="n"/>
      <c r="S52" s="18" t="n"/>
    </row>
    <row r="53" ht="17" customHeight="1">
      <c r="B53" s="25" t="inlineStr">
        <is>
          <t>4. CAÍDA DE TENSIÓN (CNE-U Regla 050-102)</t>
        </is>
      </c>
      <c r="J53" s="18" t="n"/>
      <c r="K53" s="18" t="n"/>
      <c r="L53" s="18" t="n"/>
      <c r="M53" s="18" t="n"/>
      <c r="N53" s="18" t="n"/>
      <c r="O53" s="18" t="n"/>
      <c r="P53" s="18" t="n"/>
      <c r="Q53" s="18" t="n"/>
      <c r="R53" s="18" t="n"/>
      <c r="S53" s="18" t="n"/>
    </row>
    <row r="54" ht="24" customHeight="1">
      <c r="B54" s="31" t="inlineStr">
        <is>
          <t>ΔV = k'·L·I·(ρ·cos φ / S + X·sen φ)      →      S ≥ k'·ρ·L·I·cos φ / (ΔVlím·V − k'·L·I·X·sen φ).   La sección se elige para cumplir el límite del tramo y el saldo del 4 % total (4 % − ΔVprev).</t>
        </is>
      </c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18" t="n"/>
    </row>
    <row r="55" ht="13.5" customHeight="1">
      <c r="B55" s="9" t="inlineStr">
        <is>
          <t>Límite de caída del tramo</t>
        </is>
      </c>
      <c r="C55" s="26" t="inlineStr">
        <is>
          <t>ΔVlím</t>
        </is>
      </c>
      <c r="D55" s="43">
        <f>IF(N($D$24)&gt;0,$D$24,INDEX(TRAMO_LIM,MATCH($D$11,TRAMO_NOM,0)))</f>
        <v/>
      </c>
      <c r="E55" s="30" t="inlineStr">
        <is>
          <t>%</t>
        </is>
      </c>
      <c r="F55" s="31" t="inlineStr">
        <is>
          <t>050-102: 2.5 % alimentador y 2.5 % circuito derivado</t>
        </is>
      </c>
      <c r="J55" s="18" t="n"/>
      <c r="K55" s="18" t="n"/>
      <c r="L55" s="18" t="n"/>
      <c r="M55" s="18" t="n"/>
      <c r="N55" s="18" t="n"/>
      <c r="O55" s="18" t="n"/>
      <c r="P55" s="18" t="n"/>
      <c r="Q55" s="18" t="n"/>
      <c r="R55" s="18" t="n"/>
      <c r="S55" s="18" t="n"/>
    </row>
    <row r="56" ht="24" customHeight="1">
      <c r="B56" s="9" t="inlineStr">
        <is>
          <t>Límite usado para dimensionar  mín(ΔVlím, 4 % − ΔVprev)</t>
        </is>
      </c>
      <c r="C56" s="26" t="inlineStr"/>
      <c r="D56" s="43">
        <f>MIN($D$55,4-$D$25)</f>
        <v/>
      </c>
      <c r="E56" s="30" t="inlineStr">
        <is>
          <t>%</t>
        </is>
      </c>
      <c r="J56" s="18" t="n"/>
      <c r="K56" s="18" t="n"/>
      <c r="L56" s="18" t="n"/>
      <c r="M56" s="18" t="n"/>
      <c r="N56" s="18" t="n"/>
      <c r="O56" s="18" t="n"/>
      <c r="P56" s="18" t="n"/>
      <c r="Q56" s="18" t="n"/>
      <c r="R56" s="18" t="n"/>
      <c r="S56" s="18" t="n"/>
    </row>
    <row r="57" hidden="1" ht="13.5" customHeight="1">
      <c r="B57" s="9" t="inlineStr">
        <is>
          <t>sen φ</t>
        </is>
      </c>
      <c r="C57" s="26" t="inlineStr"/>
      <c r="D57" s="64">
        <f>SQRT(MAX(0,1-$D$14^2))</f>
        <v/>
      </c>
      <c r="E57" s="30" t="inlineStr"/>
      <c r="J57" s="18" t="n"/>
      <c r="K57" s="18" t="n"/>
      <c r="L57" s="18" t="n"/>
      <c r="M57" s="18" t="n"/>
      <c r="N57" s="18" t="n"/>
      <c r="O57" s="18" t="n"/>
      <c r="P57" s="18" t="n"/>
      <c r="Q57" s="18" t="n"/>
      <c r="R57" s="18" t="n"/>
      <c r="S57" s="18" t="n"/>
    </row>
    <row r="58" hidden="1" ht="13.5" customHeight="1">
      <c r="B58" s="9" t="inlineStr">
        <is>
          <t>Denominador</t>
        </is>
      </c>
      <c r="C58" s="26" t="inlineStr"/>
      <c r="D58" s="64">
        <f>$D$56/100*$D$30-$D$32*$D$16*$D$34*$D$23/1000*$D$57</f>
        <v/>
      </c>
      <c r="E58" s="30" t="inlineStr"/>
      <c r="J58" s="18" t="n"/>
      <c r="K58" s="18" t="n"/>
      <c r="L58" s="18" t="n"/>
      <c r="M58" s="18" t="n"/>
      <c r="N58" s="18" t="n"/>
      <c r="O58" s="18" t="n"/>
      <c r="P58" s="18" t="n"/>
      <c r="Q58" s="18" t="n"/>
      <c r="R58" s="18" t="n"/>
      <c r="S58" s="18" t="n"/>
    </row>
    <row r="59" ht="13.5" customHeight="1">
      <c r="B59" s="9" t="inlineStr">
        <is>
          <t>Sección mínima por caída de tensión</t>
        </is>
      </c>
      <c r="C59" s="26" t="inlineStr">
        <is>
          <t>S,ΔV</t>
        </is>
      </c>
      <c r="D59" s="43">
        <f>IF($D$58&lt;=0,"Ninguna",$D$32*$D$22*$D$16*$D$34*$D$14/$D$58)</f>
        <v/>
      </c>
      <c r="E59" s="30" t="inlineStr">
        <is>
          <t>mm²</t>
        </is>
      </c>
      <c r="J59" s="18" t="n"/>
      <c r="K59" s="18" t="n"/>
      <c r="L59" s="18" t="n"/>
      <c r="M59" s="18" t="n"/>
      <c r="N59" s="18" t="n"/>
      <c r="O59" s="18" t="n"/>
      <c r="P59" s="18" t="n"/>
      <c r="Q59" s="18" t="n"/>
      <c r="R59" s="18" t="n"/>
      <c r="S59" s="18" t="n"/>
    </row>
    <row r="60" hidden="1" ht="13.5" customHeight="1">
      <c r="B60" s="9" t="inlineStr">
        <is>
          <t>Índice por caída</t>
        </is>
      </c>
      <c r="C60" s="26" t="inlineStr"/>
      <c r="D60" s="36">
        <f>IF(ISNUMBER($D$59),COUNTIF(SECC,"&lt;"&amp;$D$59-0.000001)+1,COUNT(SECC)+1)</f>
        <v/>
      </c>
      <c r="E60" s="30" t="inlineStr"/>
      <c r="J60" s="18" t="n"/>
      <c r="K60" s="18" t="n"/>
      <c r="L60" s="18" t="n"/>
      <c r="M60" s="18" t="n"/>
      <c r="N60" s="18" t="n"/>
      <c r="O60" s="18" t="n"/>
      <c r="P60" s="18" t="n"/>
      <c r="Q60" s="18" t="n"/>
      <c r="R60" s="18" t="n"/>
      <c r="S60" s="18" t="n"/>
    </row>
    <row r="61" ht="13.5" customHeight="1">
      <c r="B61" s="9" t="inlineStr">
        <is>
          <t>Sección normalizada por caída de tensión</t>
        </is>
      </c>
      <c r="C61" s="26" t="inlineStr">
        <is>
          <t>SΔV</t>
        </is>
      </c>
      <c r="D61" s="35">
        <f>IF($D$60&gt;COUNT(SECC),"Insuficiente",INDEX(SECC,$D$60))</f>
        <v/>
      </c>
      <c r="E61" s="30" t="inlineStr">
        <is>
          <t>mm²</t>
        </is>
      </c>
      <c r="J61" s="18" t="n"/>
      <c r="K61" s="18" t="n"/>
      <c r="L61" s="18" t="n"/>
      <c r="M61" s="18" t="n"/>
      <c r="N61" s="18" t="n"/>
      <c r="O61" s="18" t="n"/>
      <c r="P61" s="18" t="n"/>
      <c r="Q61" s="18" t="n"/>
      <c r="R61" s="18" t="n"/>
      <c r="S61" s="18" t="n"/>
    </row>
    <row r="62" hidden="1" ht="13.5" customHeight="1">
      <c r="B62" s="9" t="inlineStr">
        <is>
          <t>Índice mínimo</t>
        </is>
      </c>
      <c r="C62" s="26" t="inlineStr"/>
      <c r="D62" s="36">
        <f>MATCH($D$20,SECC,0)</f>
        <v/>
      </c>
      <c r="E62" s="30" t="inlineStr"/>
      <c r="J62" s="18" t="n"/>
      <c r="K62" s="18" t="n"/>
      <c r="L62" s="18" t="n"/>
      <c r="M62" s="18" t="n"/>
      <c r="N62" s="18" t="n"/>
      <c r="O62" s="18" t="n"/>
      <c r="P62" s="18" t="n"/>
      <c r="Q62" s="18" t="n"/>
      <c r="R62" s="18" t="n"/>
      <c r="S62" s="18" t="n"/>
    </row>
    <row r="63">
      <c r="J63" s="18" t="n"/>
      <c r="K63" s="18" t="n"/>
      <c r="L63" s="18" t="n"/>
      <c r="M63" s="18" t="n"/>
      <c r="N63" s="18" t="n"/>
      <c r="O63" s="18" t="n"/>
      <c r="P63" s="18" t="n"/>
      <c r="Q63" s="18" t="n"/>
      <c r="R63" s="18" t="n"/>
      <c r="S63" s="18" t="n"/>
    </row>
    <row r="64" ht="17" customHeight="1">
      <c r="B64" s="25" t="inlineStr">
        <is>
          <t>5. SECCIÓN ADOPTADA Y VERIFICACIONES</t>
        </is>
      </c>
      <c r="J64" s="18" t="n"/>
      <c r="K64" s="18" t="n"/>
      <c r="L64" s="18" t="n"/>
      <c r="M64" s="18" t="n"/>
      <c r="N64" s="18" t="n"/>
      <c r="O64" s="18" t="n"/>
      <c r="P64" s="18" t="n"/>
      <c r="Q64" s="18" t="n"/>
      <c r="R64" s="18" t="n"/>
      <c r="S64" s="18" t="n"/>
    </row>
    <row r="65" hidden="1" ht="13.5" customHeight="1">
      <c r="B65" s="9" t="inlineStr">
        <is>
          <t>Índice adoptado</t>
        </is>
      </c>
      <c r="C65" s="26" t="inlineStr"/>
      <c r="D65" s="36">
        <f>MAX($D$50,$D$60,$D$62)</f>
        <v/>
      </c>
      <c r="E65" s="30" t="inlineStr"/>
      <c r="J65" s="18" t="n"/>
      <c r="K65" s="18" t="n"/>
      <c r="L65" s="18" t="n"/>
      <c r="M65" s="18" t="n"/>
      <c r="N65" s="18" t="n"/>
      <c r="O65" s="18" t="n"/>
      <c r="P65" s="18" t="n"/>
      <c r="Q65" s="18" t="n"/>
      <c r="R65" s="18" t="n"/>
      <c r="S65" s="18" t="n"/>
    </row>
    <row r="66" hidden="1" ht="13.5" customHeight="1">
      <c r="B66" s="9" t="inlineStr">
        <is>
          <t>Sección disponible</t>
        </is>
      </c>
      <c r="C66" s="26" t="inlineStr"/>
      <c r="D66" s="37">
        <f>$D$65&lt;=$D$48</f>
        <v/>
      </c>
      <c r="E66" s="38" t="n"/>
      <c r="F66" s="38" t="n"/>
      <c r="G66" s="38" t="n"/>
      <c r="H66" s="38" t="n"/>
      <c r="J66" s="18" t="n"/>
      <c r="K66" s="18" t="n"/>
      <c r="L66" s="18" t="n"/>
      <c r="M66" s="18" t="n"/>
      <c r="N66" s="18" t="n"/>
      <c r="O66" s="18" t="n"/>
      <c r="P66" s="18" t="n"/>
      <c r="Q66" s="18" t="n"/>
      <c r="R66" s="18" t="n"/>
      <c r="S66" s="18" t="n"/>
    </row>
    <row r="67" ht="13.5" customHeight="1">
      <c r="B67" s="39" t="inlineStr">
        <is>
          <t>SECCIÓN DEL CONDUCTOR DE FASE</t>
        </is>
      </c>
      <c r="C67" s="26" t="inlineStr">
        <is>
          <t>S</t>
        </is>
      </c>
      <c r="D67" s="40">
        <f>IF($D$66,INDEX(SECC,$D$65),"Insuficiente")</f>
        <v/>
      </c>
      <c r="E67" s="30" t="inlineStr">
        <is>
          <t>mm²</t>
        </is>
      </c>
      <c r="J67" s="18" t="n"/>
      <c r="K67" s="18" t="n"/>
      <c r="L67" s="18" t="n"/>
      <c r="M67" s="18" t="n"/>
      <c r="N67" s="18" t="n"/>
      <c r="O67" s="18" t="n"/>
      <c r="P67" s="18" t="n"/>
      <c r="Q67" s="18" t="n"/>
      <c r="R67" s="18" t="n"/>
      <c r="S67" s="18" t="n"/>
    </row>
    <row r="68" ht="13.5" customHeight="1">
      <c r="B68" s="9" t="inlineStr">
        <is>
          <t>Criterio que gobierna</t>
        </is>
      </c>
      <c r="C68" s="26" t="inlineStr"/>
      <c r="D68" s="37">
        <f>IF(NOT($D$66),"Ninguna sección alcanza: la Tabla 2 llega a "&amp;$D$49&amp;" mm² en el método "&amp;INDEX(MET_COD,$D$41)&amp;"; use conductores en paralelo, otro método de instalación o reduzca la longitud",IF(AND($D$60&gt;$D$50,$D$60&gt;=$D$62),"Caída de tensión",IF($D$50&gt;=$D$62,"Capacidad de corriente","Sección mínima")))</f>
        <v/>
      </c>
      <c r="E68" s="38" t="n"/>
      <c r="F68" s="38" t="n"/>
      <c r="G68" s="38" t="n"/>
      <c r="H68" s="38" t="n"/>
      <c r="J68" s="18" t="n"/>
      <c r="K68" s="18" t="n"/>
      <c r="L68" s="18" t="n"/>
      <c r="M68" s="18" t="n"/>
      <c r="N68" s="18" t="n"/>
      <c r="O68" s="18" t="n"/>
      <c r="P68" s="18" t="n"/>
      <c r="Q68" s="18" t="n"/>
      <c r="R68" s="18" t="n"/>
      <c r="S68" s="18" t="n"/>
    </row>
    <row r="69" ht="13.5" customHeight="1">
      <c r="B69" s="9" t="inlineStr">
        <is>
          <t>Capacidad de la Tabla 2</t>
        </is>
      </c>
      <c r="C69" s="26" t="inlineStr">
        <is>
          <t>Iz</t>
        </is>
      </c>
      <c r="D69" s="35">
        <f>IF($D$66,INDEX(TABLA2,$D$65,$D$42),0)</f>
        <v/>
      </c>
      <c r="E69" s="30" t="inlineStr">
        <is>
          <t>A</t>
        </is>
      </c>
      <c r="J69" s="18" t="n"/>
      <c r="K69" s="18" t="n"/>
      <c r="L69" s="18" t="n"/>
      <c r="M69" s="18" t="n"/>
      <c r="N69" s="18" t="n"/>
      <c r="O69" s="18" t="n"/>
      <c r="P69" s="18" t="n"/>
      <c r="Q69" s="18" t="n"/>
      <c r="R69" s="18" t="n"/>
      <c r="S69" s="18" t="n"/>
    </row>
    <row r="70" ht="13.5" customHeight="1">
      <c r="B70" s="9" t="inlineStr">
        <is>
          <t>Capacidad corregida  Iz·F</t>
        </is>
      </c>
      <c r="C70" s="26" t="inlineStr">
        <is>
          <t>Iz'</t>
        </is>
      </c>
      <c r="D70" s="43">
        <f>$D$69*$D$46</f>
        <v/>
      </c>
      <c r="E70" s="30" t="inlineStr">
        <is>
          <t>A</t>
        </is>
      </c>
      <c r="J70" s="18" t="n"/>
      <c r="K70" s="18" t="n"/>
      <c r="L70" s="18" t="n"/>
      <c r="M70" s="18" t="n"/>
      <c r="N70" s="18" t="n"/>
      <c r="O70" s="18" t="n"/>
      <c r="P70" s="18" t="n"/>
      <c r="Q70" s="18" t="n"/>
      <c r="R70" s="18" t="n"/>
      <c r="S70" s="18" t="n"/>
    </row>
    <row r="71" ht="13.5" customHeight="1">
      <c r="B71" s="9" t="inlineStr">
        <is>
          <t>Capacidad corregida ≥ máx(In, Id)</t>
        </is>
      </c>
      <c r="C71" s="42">
        <f>IF($D$70&gt;=$D$38-0.000001,"CUMPLE","NO CUMPLE")</f>
        <v/>
      </c>
      <c r="D71" s="38" t="n"/>
      <c r="E71" s="38" t="n"/>
      <c r="J71" s="18" t="n"/>
      <c r="K71" s="18" t="n"/>
      <c r="L71" s="18" t="n"/>
      <c r="M71" s="18" t="n"/>
      <c r="N71" s="18" t="n"/>
      <c r="O71" s="18" t="n"/>
      <c r="P71" s="18" t="n"/>
      <c r="Q71" s="18" t="n"/>
      <c r="R71" s="18" t="n"/>
      <c r="S71" s="18" t="n"/>
    </row>
    <row r="72" ht="13.5" customHeight="1">
      <c r="B72" s="9" t="inlineStr">
        <is>
          <t>Caída de tensión del tramo</t>
        </is>
      </c>
      <c r="C72" s="26" t="inlineStr">
        <is>
          <t>ΔV</t>
        </is>
      </c>
      <c r="D72" s="43">
        <f>IF($D$66,$D$32*$D$16*$D$34*($D$22*$D$14/$D$67+$D$23/1000*$D$57),0)</f>
        <v/>
      </c>
      <c r="E72" s="30" t="inlineStr">
        <is>
          <t>V</t>
        </is>
      </c>
      <c r="J72" s="18" t="n"/>
      <c r="K72" s="18" t="n"/>
      <c r="L72" s="18" t="n"/>
      <c r="M72" s="18" t="n"/>
      <c r="N72" s="18" t="n"/>
      <c r="O72" s="18" t="n"/>
      <c r="P72" s="18" t="n"/>
      <c r="Q72" s="18" t="n"/>
      <c r="R72" s="18" t="n"/>
      <c r="S72" s="18" t="n"/>
    </row>
    <row r="73" ht="13.5" customHeight="1">
      <c r="B73" s="39" t="inlineStr">
        <is>
          <t>CAÍDA DE TENSIÓN DEL TRAMO</t>
        </is>
      </c>
      <c r="C73" s="26" t="inlineStr">
        <is>
          <t>ΔV</t>
        </is>
      </c>
      <c r="D73" s="65">
        <f>$D$72/$D$30</f>
        <v/>
      </c>
      <c r="E73" s="30" t="inlineStr"/>
      <c r="J73" s="18" t="n"/>
      <c r="K73" s="18" t="n"/>
      <c r="L73" s="18" t="n"/>
      <c r="M73" s="18" t="n"/>
      <c r="N73" s="18" t="n"/>
      <c r="O73" s="18" t="n"/>
      <c r="P73" s="18" t="n"/>
      <c r="Q73" s="18" t="n"/>
      <c r="R73" s="18" t="n"/>
      <c r="S73" s="18" t="n"/>
    </row>
    <row r="74" ht="13.5" customHeight="1">
      <c r="B74" s="9" t="inlineStr">
        <is>
          <t>ΔV del tramo ≤ límite · 050-102</t>
        </is>
      </c>
      <c r="C74" s="42">
        <f>IF(NOT($D$66),"—",IF($D$73*100&lt;=$D$55+0.000001,"CUMPLE","NO CUMPLE"))</f>
        <v/>
      </c>
      <c r="D74" s="38" t="n"/>
      <c r="E74" s="38" t="n"/>
      <c r="J74" s="18" t="n"/>
      <c r="K74" s="18" t="n"/>
      <c r="L74" s="18" t="n"/>
      <c r="M74" s="18" t="n"/>
      <c r="N74" s="18" t="n"/>
      <c r="O74" s="18" t="n"/>
      <c r="P74" s="18" t="n"/>
      <c r="Q74" s="18" t="n"/>
      <c r="R74" s="18" t="n"/>
      <c r="S74" s="18" t="n"/>
    </row>
    <row r="75" ht="13.5" customHeight="1">
      <c r="B75" s="39" t="inlineStr">
        <is>
          <t>CAÍDA ACUMULADA DESDE EL MEDIDOR</t>
        </is>
      </c>
      <c r="C75" s="26" t="inlineStr">
        <is>
          <t>ΣΔV</t>
        </is>
      </c>
      <c r="D75" s="65">
        <f>$D$25/100+$D$73</f>
        <v/>
      </c>
      <c r="E75" s="30" t="inlineStr"/>
      <c r="J75" s="18" t="n"/>
      <c r="K75" s="18" t="n"/>
      <c r="L75" s="18" t="n"/>
      <c r="M75" s="18" t="n"/>
      <c r="N75" s="18" t="n"/>
      <c r="O75" s="18" t="n"/>
      <c r="P75" s="18" t="n"/>
      <c r="Q75" s="18" t="n"/>
      <c r="R75" s="18" t="n"/>
      <c r="S75" s="18" t="n"/>
    </row>
    <row r="76" ht="13.5" customHeight="1">
      <c r="B76" s="9" t="inlineStr">
        <is>
          <t>ΣΔV ≤ 4 % · 050-102</t>
        </is>
      </c>
      <c r="C76" s="42">
        <f>IF(NOT($D$66),"—",IF($D$75&lt;=0.04+0.0000001,"CUMPLE","NO CUMPLE"))</f>
        <v/>
      </c>
      <c r="D76" s="38" t="n"/>
      <c r="E76" s="38" t="n"/>
      <c r="J76" s="18" t="n"/>
      <c r="K76" s="18" t="n"/>
      <c r="L76" s="18" t="n"/>
      <c r="M76" s="18" t="n"/>
      <c r="N76" s="18" t="n"/>
      <c r="O76" s="18" t="n"/>
      <c r="P76" s="18" t="n"/>
      <c r="Q76" s="18" t="n"/>
      <c r="R76" s="18" t="n"/>
      <c r="S76" s="18" t="n"/>
    </row>
    <row r="77" ht="24" customHeight="1">
      <c r="B77" s="9" t="inlineStr">
        <is>
          <t>Longitud máxima con esta sección (límite del tramo)</t>
        </is>
      </c>
      <c r="C77" s="26" t="inlineStr">
        <is>
          <t>Lmáx</t>
        </is>
      </c>
      <c r="D77" s="35">
        <f>IF(AND($D$66,$D$34&gt;0),$D$55/100*$D$30/($D$32*$D$34*($D$22*$D$14/$D$67+$D$23/1000*$D$57)),"—")</f>
        <v/>
      </c>
      <c r="E77" s="30" t="inlineStr">
        <is>
          <t>m</t>
        </is>
      </c>
      <c r="J77" s="18" t="n"/>
      <c r="K77" s="18" t="n"/>
      <c r="L77" s="18" t="n"/>
      <c r="M77" s="18" t="n"/>
      <c r="N77" s="18" t="n"/>
      <c r="O77" s="18" t="n"/>
      <c r="P77" s="18" t="n"/>
      <c r="Q77" s="18" t="n"/>
      <c r="R77" s="18" t="n"/>
      <c r="S77" s="18" t="n"/>
    </row>
    <row r="78">
      <c r="J78" s="18" t="n"/>
      <c r="K78" s="18" t="n"/>
      <c r="L78" s="18" t="n"/>
      <c r="M78" s="18" t="n"/>
      <c r="N78" s="18" t="n"/>
      <c r="O78" s="18" t="n"/>
      <c r="P78" s="18" t="n"/>
      <c r="Q78" s="18" t="n"/>
      <c r="R78" s="18" t="n"/>
      <c r="S78" s="18" t="n"/>
    </row>
    <row r="79" ht="17" customHeight="1">
      <c r="B79" s="25" t="inlineStr">
        <is>
          <t>6. CONDUCTOR DE PROTECCIÓN, TUBERÍA Y DESIGNACIÓN</t>
        </is>
      </c>
      <c r="J79" s="18" t="n"/>
      <c r="K79" s="18" t="n"/>
      <c r="L79" s="18" t="n"/>
      <c r="M79" s="18" t="n"/>
      <c r="N79" s="18" t="n"/>
      <c r="O79" s="18" t="n"/>
      <c r="P79" s="18" t="n"/>
      <c r="Q79" s="18" t="n"/>
      <c r="R79" s="18" t="n"/>
      <c r="S79" s="18" t="n"/>
    </row>
    <row r="80" hidden="1" ht="24" customHeight="1">
      <c r="B80" s="9" t="inlineStr">
        <is>
          <t>Conductor de protección (IEC 60364-5-54, tabla 54.2)</t>
        </is>
      </c>
      <c r="C80" s="26" t="inlineStr"/>
      <c r="D80" s="35">
        <f>IF($D$66,IF($D$67&lt;=16,$D$67,IF($D$67&lt;=35,16,$D$67/2)),2.5)</f>
        <v/>
      </c>
      <c r="E80" s="30" t="inlineStr">
        <is>
          <t>mm²</t>
        </is>
      </c>
      <c r="F80" s="31" t="inlineStr">
        <is>
          <t>S ≤ 16: S · 16 &lt; S ≤ 35: 16 · S &gt; 35: S/2</t>
        </is>
      </c>
      <c r="J80" s="18" t="n"/>
      <c r="K80" s="18" t="n"/>
      <c r="L80" s="18" t="n"/>
      <c r="M80" s="18" t="n"/>
      <c r="N80" s="18" t="n"/>
      <c r="O80" s="18" t="n"/>
      <c r="P80" s="18" t="n"/>
      <c r="Q80" s="18" t="n"/>
      <c r="R80" s="18" t="n"/>
      <c r="S80" s="18" t="n"/>
    </row>
    <row r="81" ht="24" customHeight="1">
      <c r="B81" s="9" t="inlineStr">
        <is>
          <t>Sección del conductor de protección (T)</t>
        </is>
      </c>
      <c r="C81" s="26" t="inlineStr">
        <is>
          <t>ST</t>
        </is>
      </c>
      <c r="D81" s="35">
        <f>IF($D$66,INDEX(SECC,COUNTIF(SECC,"&lt;"&amp;MAX(2.5,$D$80)-0.000001)+1),"—")</f>
        <v/>
      </c>
      <c r="E81" s="30" t="inlineStr">
        <is>
          <t>mm²</t>
        </is>
      </c>
      <c r="F81" s="31" t="inlineStr">
        <is>
          <t>S ≤ 16 → S · 16 &lt; S ≤ 35 → 16 · S &gt; 35 → S/2; mínimo 2.5 mm²</t>
        </is>
      </c>
      <c r="J81" s="18" t="n"/>
      <c r="K81" s="18" t="n"/>
      <c r="L81" s="18" t="n"/>
      <c r="M81" s="18" t="n"/>
      <c r="N81" s="18" t="n"/>
      <c r="O81" s="18" t="n"/>
      <c r="P81" s="18" t="n"/>
      <c r="Q81" s="18" t="n"/>
      <c r="R81" s="18" t="n"/>
      <c r="S81" s="18" t="n"/>
    </row>
    <row r="82" ht="13.5" customHeight="1">
      <c r="B82" s="9" t="inlineStr">
        <is>
          <t>Conductores activos (fases y neutro)</t>
        </is>
      </c>
      <c r="C82" s="26" t="inlineStr"/>
      <c r="D82" s="36">
        <f>INDEX(SIS_ACT,$D$29)</f>
        <v/>
      </c>
      <c r="E82" s="30" t="inlineStr"/>
      <c r="J82" s="18" t="n"/>
      <c r="K82" s="18" t="n"/>
      <c r="L82" s="18" t="n"/>
      <c r="M82" s="18" t="n"/>
      <c r="N82" s="18" t="n"/>
      <c r="O82" s="18" t="n"/>
      <c r="P82" s="18" t="n"/>
      <c r="Q82" s="18" t="n"/>
      <c r="R82" s="18" t="n"/>
      <c r="S82" s="18" t="n"/>
    </row>
    <row r="83" ht="24" customHeight="1">
      <c r="B83" s="9" t="inlineStr">
        <is>
          <t>Área de los conductores</t>
        </is>
      </c>
      <c r="C83" s="26" t="inlineStr"/>
      <c r="D83" s="35">
        <f>IF($D$66,$D$82*PI()/4*INDEX(DIAM_COND,$D$65)^2+PI()/4*INDEX(DIAM_COND,MATCH($D$81,SECC,0))^2,0)</f>
        <v/>
      </c>
      <c r="E83" s="30" t="inlineStr">
        <is>
          <t>mm²</t>
        </is>
      </c>
      <c r="F83" s="31" t="inlineStr">
        <is>
          <t>Conductores unipolares NH-80/THW-90 (diámetros de catálogo)</t>
        </is>
      </c>
      <c r="J83" s="18" t="n"/>
      <c r="K83" s="18" t="n"/>
      <c r="L83" s="18" t="n"/>
      <c r="M83" s="18" t="n"/>
      <c r="N83" s="18" t="n"/>
      <c r="O83" s="18" t="n"/>
      <c r="P83" s="18" t="n"/>
      <c r="Q83" s="18" t="n"/>
      <c r="R83" s="18" t="n"/>
      <c r="S83" s="18" t="n"/>
    </row>
    <row r="84" ht="13.5" customHeight="1">
      <c r="B84" s="9" t="inlineStr">
        <is>
          <t>Tubería PVC-SAP (ocupación ≤ 40 %)</t>
        </is>
      </c>
      <c r="C84" s="26" t="inlineStr"/>
      <c r="D84" s="37">
        <f>IF(NOT($D$66),"—",IF(COUNTIF(TUBO_A40,"&lt;"&amp;$D$83)+1&gt;COUNT(TUBO_A40),"Más de 100 mm: use varias tuberías o bandeja","Ø "&amp;INDEX(TUBO_NOM,COUNTIF(TUBO_A40,"&lt;"&amp;$D$83)+1)&amp;" mm PVC-SAP"))</f>
        <v/>
      </c>
      <c r="E84" s="38" t="n"/>
      <c r="F84" s="38" t="n"/>
      <c r="G84" s="38" t="n"/>
      <c r="H84" s="38" t="n"/>
      <c r="J84" s="18" t="n"/>
      <c r="K84" s="18" t="n"/>
      <c r="L84" s="18" t="n"/>
      <c r="M84" s="18" t="n"/>
      <c r="N84" s="18" t="n"/>
      <c r="O84" s="18" t="n"/>
      <c r="P84" s="18" t="n"/>
      <c r="Q84" s="18" t="n"/>
      <c r="R84" s="18" t="n"/>
      <c r="S84" s="18" t="n"/>
    </row>
    <row r="85" ht="13.5" customHeight="1">
      <c r="B85" s="9" t="inlineStr">
        <is>
          <t>DESIGNACIÓN</t>
        </is>
      </c>
      <c r="C85" s="26" t="inlineStr"/>
      <c r="D85" s="37">
        <f>IF($D$66,$D$82&amp;" × "&amp;IF($D$67=INT($D$67),FIXED($D$67,0,TRUE),FIXED($D$67,1,TRUE))&amp;" mm² "&amp;$D$26&amp;" + 1 × "&amp;IF($D$81=INT($D$81),FIXED($D$81,0,TRUE),FIXED($D$81,1,TRUE))&amp;" mm² (T)  ·  ITM "&amp;IF($D$33=3,"3","2")&amp;" × "&amp;$D$36&amp;" A","—")</f>
        <v/>
      </c>
      <c r="E85" s="38" t="n"/>
      <c r="F85" s="38" t="n"/>
      <c r="G85" s="38" t="n"/>
      <c r="H85" s="38" t="n"/>
      <c r="J85" s="18" t="n"/>
      <c r="K85" s="18" t="n"/>
      <c r="L85" s="18" t="n"/>
      <c r="M85" s="18" t="n"/>
      <c r="N85" s="18" t="n"/>
      <c r="O85" s="18" t="n"/>
      <c r="P85" s="18" t="n"/>
      <c r="Q85" s="18" t="n"/>
      <c r="R85" s="18" t="n"/>
      <c r="S85" s="18" t="n"/>
    </row>
    <row r="86" ht="34" customHeight="1">
      <c r="B86" s="50">
        <f>IF($D$66,"RESULTADO: "&amp;$D$85&amp;" en "&amp;$D$84&amp;". ΔV = "&amp;FIXED($D$73*100,2,TRUE)&amp;" % (tramo) y "&amp;FIXED($D$75*100,2,TRUE)&amp;" % acumulada. Gobierna: "&amp;LOWER($D$68)&amp;".",$D$68)</f>
        <v/>
      </c>
      <c r="C86" s="38" t="n"/>
      <c r="D86" s="38" t="n"/>
      <c r="E86" s="38" t="n"/>
      <c r="F86" s="38" t="n"/>
      <c r="G86" s="38" t="n"/>
      <c r="H86" s="38" t="n"/>
      <c r="J86" s="18" t="n"/>
      <c r="K86" s="18" t="n"/>
      <c r="L86" s="18" t="n"/>
      <c r="M86" s="18" t="n"/>
      <c r="N86" s="18" t="n"/>
      <c r="O86" s="18" t="n"/>
      <c r="P86" s="18" t="n"/>
      <c r="Q86" s="18" t="n"/>
      <c r="R86" s="18" t="n"/>
      <c r="S86" s="18" t="n"/>
    </row>
    <row r="87">
      <c r="J87" s="18" t="n"/>
      <c r="K87" s="18" t="n"/>
      <c r="L87" s="18" t="n"/>
      <c r="M87" s="18" t="n"/>
      <c r="N87" s="18" t="n"/>
      <c r="O87" s="18" t="n"/>
      <c r="P87" s="18" t="n"/>
      <c r="Q87" s="18" t="n"/>
      <c r="R87" s="18" t="n"/>
      <c r="S87" s="18" t="n"/>
    </row>
    <row r="88" ht="17" customHeight="1">
      <c r="B88" s="25" t="inlineStr">
        <is>
          <t>7. TABLA DE VERIFICACIÓN POR SECCIÓN</t>
        </is>
      </c>
      <c r="J88" s="18" t="n"/>
      <c r="K88" s="18" t="n"/>
      <c r="L88" s="18" t="n"/>
      <c r="M88" s="18" t="n"/>
      <c r="N88" s="18" t="n"/>
      <c r="O88" s="18" t="n"/>
      <c r="P88" s="18" t="n"/>
      <c r="Q88" s="18" t="n"/>
      <c r="R88" s="18" t="n"/>
      <c r="S88" s="18" t="n"/>
    </row>
    <row r="89" ht="26" customHeight="1">
      <c r="B89" s="32" t="inlineStr">
        <is>
          <t>Sección (mm²)</t>
        </is>
      </c>
      <c r="C89" s="32" t="inlineStr">
        <is>
          <t>Iz Tabla 2 (A)</t>
        </is>
      </c>
      <c r="D89" s="32" t="inlineStr">
        <is>
          <t>Iz·F (A)</t>
        </is>
      </c>
      <c r="E89" s="32" t="inlineStr">
        <is>
          <t>ΔV (V)</t>
        </is>
      </c>
      <c r="F89" s="32" t="inlineStr">
        <is>
          <t>ΔV (%)</t>
        </is>
      </c>
      <c r="G89" s="32" t="inlineStr">
        <is>
          <t>Capacidad</t>
        </is>
      </c>
      <c r="H89" s="32" t="inlineStr">
        <is>
          <t>Caída</t>
        </is>
      </c>
      <c r="J89" s="18" t="n"/>
      <c r="K89" s="18" t="n"/>
      <c r="L89" s="18" t="n"/>
      <c r="M89" s="18" t="n"/>
      <c r="N89" s="18" t="n"/>
      <c r="O89" s="18" t="n"/>
      <c r="P89" s="18" t="n"/>
      <c r="Q89" s="18" t="n"/>
      <c r="R89" s="18" t="n"/>
      <c r="S89" s="18" t="n"/>
    </row>
    <row r="90" ht="13.5" customHeight="1">
      <c r="B90" s="66" t="n">
        <v>1.5</v>
      </c>
      <c r="C90" s="34">
        <f>IF(INDEX(TABLA2,1,$D$42)="","—",INDEX(TABLA2,1,$D$42))</f>
        <v/>
      </c>
      <c r="D90" s="34">
        <f>IF(ISNUMBER(C90),C90*$D$46,"—")</f>
        <v/>
      </c>
      <c r="E90" s="47">
        <f>$D$32*$D$16*$D$34*($D$22*$D$14/B90+$D$23/1000*$D$57)</f>
        <v/>
      </c>
      <c r="F90" s="67">
        <f>E90/$D$30</f>
        <v/>
      </c>
      <c r="G90" s="42">
        <f>IF(ISNUMBER(D90),IF(D90&gt;=$D$38-0.000001,"CUMPLE","NO CUMPLE"),"—")</f>
        <v/>
      </c>
      <c r="H90" s="42">
        <f>IF(F90*100&lt;=$D$56+0.000001,"CUMPLE","NO CUMPLE")&amp;IF(B90=$D$67,"  ◄ adoptada","")</f>
        <v/>
      </c>
      <c r="J90" s="18" t="n"/>
      <c r="K90" s="18" t="n"/>
      <c r="L90" s="18" t="n"/>
      <c r="M90" s="18" t="n"/>
      <c r="N90" s="18" t="n"/>
      <c r="O90" s="18" t="n"/>
      <c r="P90" s="18" t="n"/>
      <c r="Q90" s="18" t="n"/>
      <c r="R90" s="18" t="n"/>
      <c r="S90" s="18" t="n"/>
    </row>
    <row r="91" ht="13.5" customHeight="1">
      <c r="B91" s="66" t="n">
        <v>2.5</v>
      </c>
      <c r="C91" s="34">
        <f>IF(INDEX(TABLA2,2,$D$42)="","—",INDEX(TABLA2,2,$D$42))</f>
        <v/>
      </c>
      <c r="D91" s="34">
        <f>IF(ISNUMBER(C91),C91*$D$46,"—")</f>
        <v/>
      </c>
      <c r="E91" s="47">
        <f>$D$32*$D$16*$D$34*($D$22*$D$14/B91+$D$23/1000*$D$57)</f>
        <v/>
      </c>
      <c r="F91" s="67">
        <f>E91/$D$30</f>
        <v/>
      </c>
      <c r="G91" s="42">
        <f>IF(ISNUMBER(D91),IF(D91&gt;=$D$38-0.000001,"CUMPLE","NO CUMPLE"),"—")</f>
        <v/>
      </c>
      <c r="H91" s="42">
        <f>IF(F91*100&lt;=$D$56+0.000001,"CUMPLE","NO CUMPLE")&amp;IF(B91=$D$67,"  ◄ adoptada","")</f>
        <v/>
      </c>
      <c r="J91" s="18" t="n"/>
      <c r="K91" s="18" t="n"/>
      <c r="L91" s="18" t="n"/>
      <c r="M91" s="18" t="n"/>
      <c r="N91" s="18" t="n"/>
      <c r="O91" s="18" t="n"/>
      <c r="P91" s="18" t="n"/>
      <c r="Q91" s="18" t="n"/>
      <c r="R91" s="18" t="n"/>
      <c r="S91" s="18" t="n"/>
    </row>
    <row r="92" ht="13.5" customHeight="1">
      <c r="B92" s="66" t="n">
        <v>4</v>
      </c>
      <c r="C92" s="34">
        <f>IF(INDEX(TABLA2,3,$D$42)="","—",INDEX(TABLA2,3,$D$42))</f>
        <v/>
      </c>
      <c r="D92" s="34">
        <f>IF(ISNUMBER(C92),C92*$D$46,"—")</f>
        <v/>
      </c>
      <c r="E92" s="47">
        <f>$D$32*$D$16*$D$34*($D$22*$D$14/B92+$D$23/1000*$D$57)</f>
        <v/>
      </c>
      <c r="F92" s="67">
        <f>E92/$D$30</f>
        <v/>
      </c>
      <c r="G92" s="42">
        <f>IF(ISNUMBER(D92),IF(D92&gt;=$D$38-0.000001,"CUMPLE","NO CUMPLE"),"—")</f>
        <v/>
      </c>
      <c r="H92" s="42">
        <f>IF(F92*100&lt;=$D$56+0.000001,"CUMPLE","NO CUMPLE")&amp;IF(B92=$D$67,"  ◄ adoptada","")</f>
        <v/>
      </c>
      <c r="J92" s="18" t="n"/>
      <c r="K92" s="18" t="n"/>
      <c r="L92" s="18" t="n"/>
      <c r="M92" s="18" t="n"/>
      <c r="N92" s="18" t="n"/>
      <c r="O92" s="18" t="n"/>
      <c r="P92" s="18" t="n"/>
      <c r="Q92" s="18" t="n"/>
      <c r="R92" s="18" t="n"/>
      <c r="S92" s="18" t="n"/>
    </row>
    <row r="93" ht="13.5" customHeight="1">
      <c r="B93" s="66" t="n">
        <v>6</v>
      </c>
      <c r="C93" s="34">
        <f>IF(INDEX(TABLA2,4,$D$42)="","—",INDEX(TABLA2,4,$D$42))</f>
        <v/>
      </c>
      <c r="D93" s="34">
        <f>IF(ISNUMBER(C93),C93*$D$46,"—")</f>
        <v/>
      </c>
      <c r="E93" s="47">
        <f>$D$32*$D$16*$D$34*($D$22*$D$14/B93+$D$23/1000*$D$57)</f>
        <v/>
      </c>
      <c r="F93" s="67">
        <f>E93/$D$30</f>
        <v/>
      </c>
      <c r="G93" s="42">
        <f>IF(ISNUMBER(D93),IF(D93&gt;=$D$38-0.000001,"CUMPLE","NO CUMPLE"),"—")</f>
        <v/>
      </c>
      <c r="H93" s="42">
        <f>IF(F93*100&lt;=$D$56+0.000001,"CUMPLE","NO CUMPLE")&amp;IF(B93=$D$67,"  ◄ adoptada","")</f>
        <v/>
      </c>
      <c r="J93" s="18" t="n"/>
      <c r="K93" s="18" t="n"/>
      <c r="L93" s="18" t="n"/>
      <c r="M93" s="18" t="n"/>
      <c r="N93" s="18" t="n"/>
      <c r="O93" s="18" t="n"/>
      <c r="P93" s="18" t="n"/>
      <c r="Q93" s="18" t="n"/>
      <c r="R93" s="18" t="n"/>
      <c r="S93" s="18" t="n"/>
    </row>
    <row r="94" ht="13.5" customHeight="1">
      <c r="B94" s="66" t="n">
        <v>10</v>
      </c>
      <c r="C94" s="34">
        <f>IF(INDEX(TABLA2,5,$D$42)="","—",INDEX(TABLA2,5,$D$42))</f>
        <v/>
      </c>
      <c r="D94" s="34">
        <f>IF(ISNUMBER(C94),C94*$D$46,"—")</f>
        <v/>
      </c>
      <c r="E94" s="47">
        <f>$D$32*$D$16*$D$34*($D$22*$D$14/B94+$D$23/1000*$D$57)</f>
        <v/>
      </c>
      <c r="F94" s="67">
        <f>E94/$D$30</f>
        <v/>
      </c>
      <c r="G94" s="42">
        <f>IF(ISNUMBER(D94),IF(D94&gt;=$D$38-0.000001,"CUMPLE","NO CUMPLE"),"—")</f>
        <v/>
      </c>
      <c r="H94" s="42">
        <f>IF(F94*100&lt;=$D$56+0.000001,"CUMPLE","NO CUMPLE")&amp;IF(B94=$D$67,"  ◄ adoptada","")</f>
        <v/>
      </c>
      <c r="J94" s="18" t="n"/>
      <c r="K94" s="18" t="n"/>
      <c r="L94" s="18" t="n"/>
      <c r="M94" s="18" t="n"/>
      <c r="N94" s="18" t="n"/>
      <c r="O94" s="18" t="n"/>
      <c r="P94" s="18" t="n"/>
      <c r="Q94" s="18" t="n"/>
      <c r="R94" s="18" t="n"/>
      <c r="S94" s="18" t="n"/>
    </row>
    <row r="95" ht="13.5" customHeight="1">
      <c r="B95" s="66" t="n">
        <v>16</v>
      </c>
      <c r="C95" s="34">
        <f>IF(INDEX(TABLA2,6,$D$42)="","—",INDEX(TABLA2,6,$D$42))</f>
        <v/>
      </c>
      <c r="D95" s="34">
        <f>IF(ISNUMBER(C95),C95*$D$46,"—")</f>
        <v/>
      </c>
      <c r="E95" s="47">
        <f>$D$32*$D$16*$D$34*($D$22*$D$14/B95+$D$23/1000*$D$57)</f>
        <v/>
      </c>
      <c r="F95" s="67">
        <f>E95/$D$30</f>
        <v/>
      </c>
      <c r="G95" s="42">
        <f>IF(ISNUMBER(D95),IF(D95&gt;=$D$38-0.000001,"CUMPLE","NO CUMPLE"),"—")</f>
        <v/>
      </c>
      <c r="H95" s="42">
        <f>IF(F95*100&lt;=$D$56+0.000001,"CUMPLE","NO CUMPLE")&amp;IF(B95=$D$67,"  ◄ adoptada","")</f>
        <v/>
      </c>
      <c r="J95" s="18" t="n"/>
      <c r="K95" s="18" t="n"/>
      <c r="L95" s="18" t="n"/>
      <c r="M95" s="18" t="n"/>
      <c r="N95" s="18" t="n"/>
      <c r="O95" s="18" t="n"/>
      <c r="P95" s="18" t="n"/>
      <c r="Q95" s="18" t="n"/>
      <c r="R95" s="18" t="n"/>
      <c r="S95" s="18" t="n"/>
    </row>
    <row r="96" ht="13.5" customHeight="1">
      <c r="B96" s="66" t="n">
        <v>25</v>
      </c>
      <c r="C96" s="34">
        <f>IF(INDEX(TABLA2,7,$D$42)="","—",INDEX(TABLA2,7,$D$42))</f>
        <v/>
      </c>
      <c r="D96" s="34">
        <f>IF(ISNUMBER(C96),C96*$D$46,"—")</f>
        <v/>
      </c>
      <c r="E96" s="47">
        <f>$D$32*$D$16*$D$34*($D$22*$D$14/B96+$D$23/1000*$D$57)</f>
        <v/>
      </c>
      <c r="F96" s="67">
        <f>E96/$D$30</f>
        <v/>
      </c>
      <c r="G96" s="42">
        <f>IF(ISNUMBER(D96),IF(D96&gt;=$D$38-0.000001,"CUMPLE","NO CUMPLE"),"—")</f>
        <v/>
      </c>
      <c r="H96" s="42">
        <f>IF(F96*100&lt;=$D$56+0.000001,"CUMPLE","NO CUMPLE")&amp;IF(B96=$D$67,"  ◄ adoptada","")</f>
        <v/>
      </c>
      <c r="J96" s="18" t="n"/>
      <c r="K96" s="18" t="n"/>
      <c r="L96" s="18" t="n"/>
      <c r="M96" s="18" t="n"/>
      <c r="N96" s="18" t="n"/>
      <c r="O96" s="18" t="n"/>
      <c r="P96" s="18" t="n"/>
      <c r="Q96" s="18" t="n"/>
      <c r="R96" s="18" t="n"/>
      <c r="S96" s="18" t="n"/>
    </row>
    <row r="97" ht="13.5" customHeight="1">
      <c r="B97" s="66" t="n">
        <v>35</v>
      </c>
      <c r="C97" s="34">
        <f>IF(INDEX(TABLA2,8,$D$42)="","—",INDEX(TABLA2,8,$D$42))</f>
        <v/>
      </c>
      <c r="D97" s="34">
        <f>IF(ISNUMBER(C97),C97*$D$46,"—")</f>
        <v/>
      </c>
      <c r="E97" s="47">
        <f>$D$32*$D$16*$D$34*($D$22*$D$14/B97+$D$23/1000*$D$57)</f>
        <v/>
      </c>
      <c r="F97" s="67">
        <f>E97/$D$30</f>
        <v/>
      </c>
      <c r="G97" s="42">
        <f>IF(ISNUMBER(D97),IF(D97&gt;=$D$38-0.000001,"CUMPLE","NO CUMPLE"),"—")</f>
        <v/>
      </c>
      <c r="H97" s="42">
        <f>IF(F97*100&lt;=$D$56+0.000001,"CUMPLE","NO CUMPLE")&amp;IF(B97=$D$67,"  ◄ adoptada","")</f>
        <v/>
      </c>
      <c r="J97" s="18" t="n"/>
      <c r="K97" s="18" t="n"/>
      <c r="L97" s="18" t="n"/>
      <c r="M97" s="18" t="n"/>
      <c r="N97" s="18" t="n"/>
      <c r="O97" s="18" t="n"/>
      <c r="P97" s="18" t="n"/>
      <c r="Q97" s="18" t="n"/>
      <c r="R97" s="18" t="n"/>
      <c r="S97" s="18" t="n"/>
    </row>
    <row r="98" ht="13.5" customHeight="1">
      <c r="B98" s="66" t="n">
        <v>50</v>
      </c>
      <c r="C98" s="34">
        <f>IF(INDEX(TABLA2,9,$D$42)="","—",INDEX(TABLA2,9,$D$42))</f>
        <v/>
      </c>
      <c r="D98" s="34">
        <f>IF(ISNUMBER(C98),C98*$D$46,"—")</f>
        <v/>
      </c>
      <c r="E98" s="47">
        <f>$D$32*$D$16*$D$34*($D$22*$D$14/B98+$D$23/1000*$D$57)</f>
        <v/>
      </c>
      <c r="F98" s="67">
        <f>E98/$D$30</f>
        <v/>
      </c>
      <c r="G98" s="42">
        <f>IF(ISNUMBER(D98),IF(D98&gt;=$D$38-0.000001,"CUMPLE","NO CUMPLE"),"—")</f>
        <v/>
      </c>
      <c r="H98" s="42">
        <f>IF(F98*100&lt;=$D$56+0.000001,"CUMPLE","NO CUMPLE")&amp;IF(B98=$D$67,"  ◄ adoptada","")</f>
        <v/>
      </c>
      <c r="J98" s="18" t="n"/>
      <c r="K98" s="18" t="n"/>
      <c r="L98" s="18" t="n"/>
      <c r="M98" s="18" t="n"/>
      <c r="N98" s="18" t="n"/>
      <c r="O98" s="18" t="n"/>
      <c r="P98" s="18" t="n"/>
      <c r="Q98" s="18" t="n"/>
      <c r="R98" s="18" t="n"/>
      <c r="S98" s="18" t="n"/>
    </row>
    <row r="99" ht="13.5" customHeight="1">
      <c r="B99" s="66" t="n">
        <v>70</v>
      </c>
      <c r="C99" s="34">
        <f>IF(INDEX(TABLA2,10,$D$42)="","—",INDEX(TABLA2,10,$D$42))</f>
        <v/>
      </c>
      <c r="D99" s="34">
        <f>IF(ISNUMBER(C99),C99*$D$46,"—")</f>
        <v/>
      </c>
      <c r="E99" s="47">
        <f>$D$32*$D$16*$D$34*($D$22*$D$14/B99+$D$23/1000*$D$57)</f>
        <v/>
      </c>
      <c r="F99" s="67">
        <f>E99/$D$30</f>
        <v/>
      </c>
      <c r="G99" s="42">
        <f>IF(ISNUMBER(D99),IF(D99&gt;=$D$38-0.000001,"CUMPLE","NO CUMPLE"),"—")</f>
        <v/>
      </c>
      <c r="H99" s="42">
        <f>IF(F99*100&lt;=$D$56+0.000001,"CUMPLE","NO CUMPLE")&amp;IF(B99=$D$67,"  ◄ adoptada","")</f>
        <v/>
      </c>
      <c r="J99" s="18" t="n"/>
      <c r="K99" s="18" t="n"/>
      <c r="L99" s="18" t="n"/>
      <c r="M99" s="18" t="n"/>
      <c r="N99" s="18" t="n"/>
      <c r="O99" s="18" t="n"/>
      <c r="P99" s="18" t="n"/>
      <c r="Q99" s="18" t="n"/>
      <c r="R99" s="18" t="n"/>
      <c r="S99" s="18" t="n"/>
    </row>
    <row r="100" ht="13.5" customHeight="1">
      <c r="B100" s="66" t="n">
        <v>95</v>
      </c>
      <c r="C100" s="34">
        <f>IF(INDEX(TABLA2,11,$D$42)="","—",INDEX(TABLA2,11,$D$42))</f>
        <v/>
      </c>
      <c r="D100" s="34">
        <f>IF(ISNUMBER(C100),C100*$D$46,"—")</f>
        <v/>
      </c>
      <c r="E100" s="47">
        <f>$D$32*$D$16*$D$34*($D$22*$D$14/B100+$D$23/1000*$D$57)</f>
        <v/>
      </c>
      <c r="F100" s="67">
        <f>E100/$D$30</f>
        <v/>
      </c>
      <c r="G100" s="42">
        <f>IF(ISNUMBER(D100),IF(D100&gt;=$D$38-0.000001,"CUMPLE","NO CUMPLE"),"—")</f>
        <v/>
      </c>
      <c r="H100" s="42">
        <f>IF(F100*100&lt;=$D$56+0.000001,"CUMPLE","NO CUMPLE")&amp;IF(B100=$D$67,"  ◄ adoptada","")</f>
        <v/>
      </c>
      <c r="J100" s="18" t="n"/>
      <c r="K100" s="18" t="n"/>
      <c r="L100" s="18" t="n"/>
      <c r="M100" s="18" t="n"/>
      <c r="N100" s="18" t="n"/>
      <c r="O100" s="18" t="n"/>
      <c r="P100" s="18" t="n"/>
      <c r="Q100" s="18" t="n"/>
      <c r="R100" s="18" t="n"/>
      <c r="S100" s="18" t="n"/>
    </row>
    <row r="101" ht="13.5" customHeight="1">
      <c r="B101" s="66" t="n">
        <v>120</v>
      </c>
      <c r="C101" s="34">
        <f>IF(INDEX(TABLA2,12,$D$42)="","—",INDEX(TABLA2,12,$D$42))</f>
        <v/>
      </c>
      <c r="D101" s="34">
        <f>IF(ISNUMBER(C101),C101*$D$46,"—")</f>
        <v/>
      </c>
      <c r="E101" s="47">
        <f>$D$32*$D$16*$D$34*($D$22*$D$14/B101+$D$23/1000*$D$57)</f>
        <v/>
      </c>
      <c r="F101" s="67">
        <f>E101/$D$30</f>
        <v/>
      </c>
      <c r="G101" s="42">
        <f>IF(ISNUMBER(D101),IF(D101&gt;=$D$38-0.000001,"CUMPLE","NO CUMPLE"),"—")</f>
        <v/>
      </c>
      <c r="H101" s="42">
        <f>IF(F101*100&lt;=$D$56+0.000001,"CUMPLE","NO CUMPLE")&amp;IF(B101=$D$67,"  ◄ adoptada","")</f>
        <v/>
      </c>
      <c r="J101" s="18" t="n"/>
      <c r="K101" s="18" t="n"/>
      <c r="L101" s="18" t="n"/>
      <c r="M101" s="18" t="n"/>
      <c r="N101" s="18" t="n"/>
      <c r="O101" s="18" t="n"/>
      <c r="P101" s="18" t="n"/>
      <c r="Q101" s="18" t="n"/>
      <c r="R101" s="18" t="n"/>
      <c r="S101" s="18" t="n"/>
    </row>
    <row r="102" ht="13.5" customHeight="1">
      <c r="B102" s="66" t="n">
        <v>150</v>
      </c>
      <c r="C102" s="34">
        <f>IF(INDEX(TABLA2,13,$D$42)="","—",INDEX(TABLA2,13,$D$42))</f>
        <v/>
      </c>
      <c r="D102" s="34">
        <f>IF(ISNUMBER(C102),C102*$D$46,"—")</f>
        <v/>
      </c>
      <c r="E102" s="47">
        <f>$D$32*$D$16*$D$34*($D$22*$D$14/B102+$D$23/1000*$D$57)</f>
        <v/>
      </c>
      <c r="F102" s="67">
        <f>E102/$D$30</f>
        <v/>
      </c>
      <c r="G102" s="42">
        <f>IF(ISNUMBER(D102),IF(D102&gt;=$D$38-0.000001,"CUMPLE","NO CUMPLE"),"—")</f>
        <v/>
      </c>
      <c r="H102" s="42">
        <f>IF(F102*100&lt;=$D$56+0.000001,"CUMPLE","NO CUMPLE")&amp;IF(B102=$D$67,"  ◄ adoptada","")</f>
        <v/>
      </c>
      <c r="J102" s="18" t="n"/>
      <c r="K102" s="18" t="n"/>
      <c r="L102" s="18" t="n"/>
      <c r="M102" s="18" t="n"/>
      <c r="N102" s="18" t="n"/>
      <c r="O102" s="18" t="n"/>
      <c r="P102" s="18" t="n"/>
      <c r="Q102" s="18" t="n"/>
      <c r="R102" s="18" t="n"/>
      <c r="S102" s="18" t="n"/>
    </row>
    <row r="103" ht="13.5" customHeight="1">
      <c r="B103" s="66" t="n">
        <v>185</v>
      </c>
      <c r="C103" s="34">
        <f>IF(INDEX(TABLA2,14,$D$42)="","—",INDEX(TABLA2,14,$D$42))</f>
        <v/>
      </c>
      <c r="D103" s="34">
        <f>IF(ISNUMBER(C103),C103*$D$46,"—")</f>
        <v/>
      </c>
      <c r="E103" s="47">
        <f>$D$32*$D$16*$D$34*($D$22*$D$14/B103+$D$23/1000*$D$57)</f>
        <v/>
      </c>
      <c r="F103" s="67">
        <f>E103/$D$30</f>
        <v/>
      </c>
      <c r="G103" s="42">
        <f>IF(ISNUMBER(D103),IF(D103&gt;=$D$38-0.000001,"CUMPLE","NO CUMPLE"),"—")</f>
        <v/>
      </c>
      <c r="H103" s="42">
        <f>IF(F103*100&lt;=$D$56+0.000001,"CUMPLE","NO CUMPLE")&amp;IF(B103=$D$67,"  ◄ adoptada","")</f>
        <v/>
      </c>
      <c r="J103" s="18" t="n"/>
      <c r="K103" s="18" t="n"/>
      <c r="L103" s="18" t="n"/>
      <c r="M103" s="18" t="n"/>
      <c r="N103" s="18" t="n"/>
      <c r="O103" s="18" t="n"/>
      <c r="P103" s="18" t="n"/>
      <c r="Q103" s="18" t="n"/>
      <c r="R103" s="18" t="n"/>
      <c r="S103" s="18" t="n"/>
    </row>
    <row r="104" ht="13.5" customHeight="1">
      <c r="B104" s="66" t="n">
        <v>240</v>
      </c>
      <c r="C104" s="34">
        <f>IF(INDEX(TABLA2,15,$D$42)="","—",INDEX(TABLA2,15,$D$42))</f>
        <v/>
      </c>
      <c r="D104" s="34">
        <f>IF(ISNUMBER(C104),C104*$D$46,"—")</f>
        <v/>
      </c>
      <c r="E104" s="47">
        <f>$D$32*$D$16*$D$34*($D$22*$D$14/B104+$D$23/1000*$D$57)</f>
        <v/>
      </c>
      <c r="F104" s="67">
        <f>E104/$D$30</f>
        <v/>
      </c>
      <c r="G104" s="42">
        <f>IF(ISNUMBER(D104),IF(D104&gt;=$D$38-0.000001,"CUMPLE","NO CUMPLE"),"—")</f>
        <v/>
      </c>
      <c r="H104" s="42">
        <f>IF(F104*100&lt;=$D$56+0.000001,"CUMPLE","NO CUMPLE")&amp;IF(B104=$D$67,"  ◄ adoptada","")</f>
        <v/>
      </c>
      <c r="J104" s="18" t="n"/>
      <c r="K104" s="18" t="n"/>
      <c r="L104" s="18" t="n"/>
      <c r="M104" s="18" t="n"/>
      <c r="N104" s="18" t="n"/>
      <c r="O104" s="18" t="n"/>
      <c r="P104" s="18" t="n"/>
      <c r="Q104" s="18" t="n"/>
      <c r="R104" s="18" t="n"/>
      <c r="S104" s="18" t="n"/>
    </row>
    <row r="105" ht="36" customHeight="1">
      <c r="B105" s="31" t="inlineStr">
        <is>
          <t>Capacidad: Tabla 2 del CNE-U (Cu, PVC 70 °C) por los factores de temperatura y agrupamiento. Caída: con la corriente de la carga (050-102(3)); con X = 0 solo se considera la resistencia, criterio usual en baja tensión hasta secciones medianas.</t>
        </is>
      </c>
      <c r="J105" s="18" t="n"/>
      <c r="K105" s="18" t="n"/>
      <c r="L105" s="18" t="n"/>
      <c r="M105" s="18" t="n"/>
      <c r="N105" s="18" t="n"/>
      <c r="O105" s="18" t="n"/>
      <c r="P105" s="18" t="n"/>
      <c r="Q105" s="18" t="n"/>
      <c r="R105" s="18" t="n"/>
      <c r="S105" s="18" t="n"/>
    </row>
    <row r="106">
      <c r="J106" s="18" t="n"/>
      <c r="K106" s="18" t="n"/>
      <c r="L106" s="18" t="n"/>
      <c r="M106" s="18" t="n"/>
      <c r="N106" s="18" t="n"/>
      <c r="O106" s="18" t="n"/>
      <c r="P106" s="18" t="n"/>
      <c r="Q106" s="18" t="n"/>
      <c r="R106" s="18" t="n"/>
      <c r="S106" s="18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45">
    <mergeCell ref="F20:H20"/>
    <mergeCell ref="B40:H40"/>
    <mergeCell ref="F80:H80"/>
    <mergeCell ref="F45:H45"/>
    <mergeCell ref="F35:H35"/>
    <mergeCell ref="B64:H64"/>
    <mergeCell ref="D84:H84"/>
    <mergeCell ref="F23:H23"/>
    <mergeCell ref="F81:H81"/>
    <mergeCell ref="F22:H22"/>
    <mergeCell ref="D26:H26"/>
    <mergeCell ref="C71:E71"/>
    <mergeCell ref="F13:H13"/>
    <mergeCell ref="C76:E76"/>
    <mergeCell ref="B79:H79"/>
    <mergeCell ref="D11:H11"/>
    <mergeCell ref="B54:H54"/>
    <mergeCell ref="F15:H15"/>
    <mergeCell ref="C7:H7"/>
    <mergeCell ref="D66:H66"/>
    <mergeCell ref="D17:H17"/>
    <mergeCell ref="C37:E37"/>
    <mergeCell ref="D43:H43"/>
    <mergeCell ref="B105:H105"/>
    <mergeCell ref="B2:H2"/>
    <mergeCell ref="B86:H86"/>
    <mergeCell ref="C3:H3"/>
    <mergeCell ref="F25:H25"/>
    <mergeCell ref="D85:H85"/>
    <mergeCell ref="C6:H6"/>
    <mergeCell ref="D12:H12"/>
    <mergeCell ref="B28:H28"/>
    <mergeCell ref="D68:H68"/>
    <mergeCell ref="F19:H19"/>
    <mergeCell ref="C74:E74"/>
    <mergeCell ref="B1:H1"/>
    <mergeCell ref="B88:H88"/>
    <mergeCell ref="C5:H5"/>
    <mergeCell ref="B53:H53"/>
    <mergeCell ref="C4:H4"/>
    <mergeCell ref="B10:H10"/>
    <mergeCell ref="F83:H83"/>
    <mergeCell ref="F21:H21"/>
    <mergeCell ref="F55:H55"/>
    <mergeCell ref="F24:H24"/>
  </mergeCells>
  <conditionalFormatting sqref="B1:H106">
    <cfRule type="expression" priority="1" dxfId="0" stopIfTrue="1">
      <formula>ISNUMBER(SEARCH("NO CUMPLE",B1))</formula>
    </cfRule>
    <cfRule type="expression" priority="2" dxfId="1" stopIfTrue="1">
      <formula>OR(LEFT(B1,7)="REVISAR",LEFT(B1,6)="AVISO:",LEFT(B1,7)="Elija e",LEFT(B1,9)="Insuficie")</formula>
    </cfRule>
    <cfRule type="expression" priority="3" dxfId="2">
      <formula>B1="CUMPLE"</formula>
    </cfRule>
  </conditionalFormatting>
  <conditionalFormatting sqref="B90:H106">
    <cfRule type="expression" priority="4" dxfId="3">
      <formula>ISNUMBER(SEARCH("adoptada",$H90))</formula>
    </cfRule>
  </conditionalFormatting>
  <dataValidations count="13">
    <dataValidation sqref="D11" showDropDown="0" showInputMessage="0" showErrorMessage="0" allowBlank="1" errorTitle="Valor no válido" error="Elija un valor de la lista" type="list">
      <formula1>=TRAMO_NOM</formula1>
    </dataValidation>
    <dataValidation sqref="D12" showDropDown="0" showInputMessage="0" showErrorMessage="0" allowBlank="1" errorTitle="Valor no válido" error="Elija un valor de la lista" type="list">
      <formula1>=SIS_NOM</formula1>
    </dataValidation>
    <dataValidation sqref="D14" showDropDown="0" showInputMessage="0" showErrorMessage="0" allowBlank="1" errorTitle="Valor fuera de rango" error="Ingrese un valor entre 0.5 y 1" type="decimal" operator="between">
      <formula1>0.5</formula1>
      <formula2>1</formula2>
    </dataValidation>
    <dataValidation sqref="D16" showDropDown="0" showInputMessage="0" showErrorMessage="0" allowBlank="1" errorTitle="Valor fuera de rango" error="Ingrese un valor entre 0.1 y 5000" type="decimal" operator="between">
      <formula1>0.1</formula1>
      <formula2>5000</formula2>
    </dataValidation>
    <dataValidation sqref="D17" showDropDown="0" showInputMessage="0" showErrorMessage="0" allowBlank="1" errorTitle="Valor no válido" error="Elija un valor de la lista" type="list">
      <formula1>=MET_DESC</formula1>
    </dataValidation>
    <dataValidation sqref="D18" showDropDown="0" showInputMessage="0" showErrorMessage="0" allowBlank="1" errorTitle="Valor no válido" error="Elija un valor de la lista" type="list">
      <formula1>=FT_T</formula1>
    </dataValidation>
    <dataValidation sqref="D19" showDropDown="0" showInputMessage="0" showErrorMessage="0" allowBlank="1" errorTitle="Valor fuera de rango" error="Ingrese un valor entre 1 y 20" type="decimal" operator="between">
      <formula1>1</formula1>
      <formula2>20</formula2>
    </dataValidation>
    <dataValidation sqref="D20" showDropDown="0" showInputMessage="0" showErrorMessage="0" allowBlank="1" errorTitle="Valor no válido" error="Elija un valor de la lista" type="list">
      <formula1>=SMIN</formula1>
    </dataValidation>
    <dataValidation sqref="D22" showDropDown="0" showInputMessage="0" showErrorMessage="0" allowBlank="1" errorTitle="Valor fuera de rango" error="Ingrese un valor entre 0.01 y 0.04" type="decimal" operator="between">
      <formula1>0.01</formula1>
      <formula2>0.04</formula2>
    </dataValidation>
    <dataValidation sqref="D23" showDropDown="0" showInputMessage="0" showErrorMessage="0" allowBlank="1" errorTitle="Valor fuera de rango" error="Ingrese un valor entre 0 y 0.5" type="decimal" operator="between">
      <formula1>0</formula1>
      <formula2>0.5</formula2>
    </dataValidation>
    <dataValidation sqref="D24" showDropDown="0" showInputMessage="0" showErrorMessage="0" allowBlank="1" errorTitle="Valor fuera de rango" error="Ingrese un valor entre 0.1 y 10" type="decimal" operator="between">
      <formula1>0.1</formula1>
      <formula2>10</formula2>
    </dataValidation>
    <dataValidation sqref="D25" showDropDown="0" showInputMessage="0" showErrorMessage="0" allowBlank="1" errorTitle="Valor fuera de rango" error="Ingrese un valor entre 0 y 10" type="decimal" operator="between">
      <formula1>0</formula1>
      <formula2>10</formula2>
    </dataValidation>
    <dataValidation sqref="D26" showDropDown="0" showInputMessage="0" showErrorMessage="0" allowBlank="1" errorTitle="Valor no válido" error="Elija un valor de la lista" type="list">
      <formula1>=COND_NOM</formula1>
    </dataValidation>
  </dataValidations>
  <printOptions horizontalCentered="1"/>
  <pageMargins left="0.5" right="0.5" top="0.6" bottom="0.6" header="0.3" footer="0.3"/>
  <pageSetup orientation="portrait" paperSize="9" fitToHeight="0" fitToWidth="1"/>
  <headerFooter>
    <oddHeader>&amp;L&amp;"Times New Roman,Regular"&amp;7 ALF_BIM · Calculadoras IIEE ALF · Caída de tensión&amp;R&amp;"Times New Roman,Regular"&amp;7 Página &amp;P de &amp;N</oddHeader>
    <oddFooter>&amp;L&amp;"Times New Roman,Regular"&amp;7 www.alfbim.com · Herramienta gratuita de apoyo. Los resultados deben ser revisados por un ingeniero electricista o mecánico electricista colegiado.&amp;R&amp;"Times New Roman,Regular"&amp;7 &amp;A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2F7DF6"/>
    <outlinePr summaryBelow="1" summaryRight="1"/>
    <pageSetUpPr fitToPage="1"/>
  </sheetPr>
  <dimension ref="B1:AL42"/>
  <sheetViews>
    <sheetView showGridLines="0" tabSelected="0" workbookViewId="0">
      <pane xSplit="3" ySplit="14" topLeftCell="D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.5" customWidth="1" min="1" max="1"/>
    <col width="4" customWidth="1" min="2" max="2"/>
    <col width="20" customWidth="1" min="3" max="3"/>
    <col width="12" customWidth="1" min="4" max="4"/>
    <col width="17" customWidth="1" min="5" max="5"/>
    <col width="8" customWidth="1" min="6" max="6"/>
    <col width="6" customWidth="1" min="7" max="7"/>
    <col width="7" customWidth="1" min="8" max="8"/>
    <col width="6.5" customWidth="1" min="9" max="9"/>
    <col width="6" customWidth="1" min="10" max="10"/>
    <col width="6.5" customWidth="1" min="11" max="11"/>
    <col width="7.5" customWidth="1" min="12" max="12"/>
    <col width="7.5" customWidth="1" min="13" max="13"/>
    <col width="6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12" customWidth="1" min="19" max="19"/>
    <col width="12" customWidth="1" min="20" max="20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</cols>
  <sheetData>
    <row r="1" ht="24" customHeight="1">
      <c r="B1" s="17" t="inlineStr">
        <is>
          <t>CUADRO DE ALIMENTADORES Y CIRCUITOS · CAÍDA DE TENSIÓN Y SECCIÓN · CNE-U 050-102 Y TABLA 2</t>
        </is>
      </c>
    </row>
    <row r="2">
      <c r="B2" s="19" t="inlineStr">
        <is>
          <t>ALF_BIM · Calculadoras IIEE ALF · v1.0.0</t>
        </is>
      </c>
    </row>
    <row r="3">
      <c r="B3" s="20" t="inlineStr">
        <is>
          <t>Proyecto</t>
        </is>
      </c>
      <c r="C3" s="22" t="n"/>
      <c r="D3" s="55">
        <f>INICIO!$D$7</f>
        <v/>
      </c>
      <c r="E3" s="22" t="n"/>
      <c r="F3" s="22" t="n"/>
      <c r="G3" s="22" t="n"/>
      <c r="H3" s="22" t="n"/>
      <c r="I3" s="22" t="n"/>
      <c r="J3" s="22" t="n"/>
      <c r="K3" s="22" t="n"/>
      <c r="L3" s="22" t="n"/>
      <c r="M3" s="22" t="n"/>
      <c r="N3" s="22" t="n"/>
      <c r="O3" s="22" t="n"/>
      <c r="P3" s="22" t="n"/>
      <c r="Q3" s="22" t="n"/>
      <c r="R3" s="22" t="n"/>
      <c r="S3" s="22" t="n"/>
      <c r="T3" s="22" t="n"/>
    </row>
    <row r="4">
      <c r="B4" s="20" t="inlineStr">
        <is>
          <t>Ubicación</t>
        </is>
      </c>
      <c r="C4" s="22" t="n"/>
      <c r="D4" s="55">
        <f>INICIO!$D$9</f>
        <v/>
      </c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  <c r="O4" s="22" t="n"/>
      <c r="P4" s="22" t="n"/>
      <c r="Q4" s="22" t="n"/>
      <c r="R4" s="22" t="n"/>
      <c r="S4" s="22" t="n"/>
      <c r="T4" s="22" t="n"/>
    </row>
    <row r="5">
      <c r="B5" s="20" t="inlineStr">
        <is>
          <t>Proyectista</t>
        </is>
      </c>
      <c r="C5" s="22" t="n"/>
      <c r="D5" s="55">
        <f>INICIO!$D$10&amp;IF(INICIO!$D$11="",""," · CIP "&amp;INICIO!$D$11)</f>
        <v/>
      </c>
      <c r="E5" s="22" t="n"/>
      <c r="F5" s="22" t="n"/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  <c r="T5" s="22" t="n"/>
    </row>
    <row r="6">
      <c r="B6" s="20" t="inlineStr">
        <is>
          <t>Fecha</t>
        </is>
      </c>
      <c r="C6" s="22" t="n"/>
      <c r="D6" s="24">
        <f>INICIO!$D$12</f>
        <v/>
      </c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  <c r="Q6" s="22" t="n"/>
      <c r="R6" s="22" t="n"/>
      <c r="S6" s="22" t="n"/>
      <c r="T6" s="22" t="n"/>
    </row>
    <row r="8">
      <c r="B8" s="16" t="inlineStr">
        <is>
          <t>DATOS COMUNES</t>
        </is>
      </c>
    </row>
    <row r="9">
      <c r="C9" s="9" t="inlineStr">
        <is>
          <t>Temperatura ambiente (°C)</t>
        </is>
      </c>
      <c r="F9" s="53" t="n">
        <v>30</v>
      </c>
      <c r="G9" s="38" t="n"/>
      <c r="I9" s="31" t="inlineStr">
        <is>
          <t>Una fila por tramo. «ΔV previo» es la caída acumulada del alimentador que alimenta al tramo: escriba la referencia a su celda «ΔV acum.» (por ejemplo =R15) para encadenarlos. Id = 1.25·I; ITM ≥ Id; conductor con Iz·Ft·Fa ≥ máx(ITM, Id), caída del tramo ≤ 2.5 % y acumulada ≤ 4 %. Método: A1, A2, B1 (tubo empotrado), B2, C, D (enterrado; la temperatura común se usa como la del terreno). ρ: 0.0175 a 20 °C (usual) o 0.0225 a 70 °C (IEC). X ≈ 0.08 Ω/km en tubo.</t>
        </is>
      </c>
    </row>
    <row r="10">
      <c r="C10" s="9" t="inlineStr">
        <is>
          <t>Resistividad del cobre (Ω·mm²/m)</t>
        </is>
      </c>
      <c r="F10" s="62" t="n">
        <v>0.0175</v>
      </c>
      <c r="G10" s="38" t="n"/>
    </row>
    <row r="11">
      <c r="C11" s="9" t="inlineStr">
        <is>
          <t>Límite de caída acumulada (%)</t>
        </is>
      </c>
      <c r="F11" s="29" t="n">
        <v>4</v>
      </c>
      <c r="G11" s="38" t="n"/>
    </row>
    <row r="12">
      <c r="C12" s="9" t="inlineStr">
        <is>
          <t>ITM mínimo en circuitos derivados (A)</t>
        </is>
      </c>
      <c r="F12" s="53" t="n">
        <v>16</v>
      </c>
      <c r="G12" s="38" t="n"/>
    </row>
    <row r="13">
      <c r="C13" s="9" t="inlineStr">
        <is>
          <t>Reactancia del conductor (Ω/km, opcional)</t>
        </is>
      </c>
      <c r="F13" s="63" t="n">
        <v>0</v>
      </c>
      <c r="G13" s="38" t="n"/>
    </row>
    <row r="14" ht="36" customHeight="1">
      <c r="B14" s="32" t="inlineStr">
        <is>
          <t>N.°</t>
        </is>
      </c>
      <c r="C14" s="32" t="inlineStr">
        <is>
          <t>Tramo (de → a)</t>
        </is>
      </c>
      <c r="D14" s="32" t="inlineStr">
        <is>
          <t>Tipo</t>
        </is>
      </c>
      <c r="E14" s="32" t="inlineStr">
        <is>
          <t>Sistema</t>
        </is>
      </c>
      <c r="F14" s="32" t="inlineStr">
        <is>
          <t>P (W)</t>
        </is>
      </c>
      <c r="G14" s="32" t="inlineStr">
        <is>
          <t>cos φ</t>
        </is>
      </c>
      <c r="H14" s="32" t="inlineStr">
        <is>
          <t>L (m)</t>
        </is>
      </c>
      <c r="I14" s="32" t="inlineStr">
        <is>
          <t>Método</t>
        </is>
      </c>
      <c r="J14" s="32" t="inlineStr">
        <is>
          <t>Circ. en tubo</t>
        </is>
      </c>
      <c r="K14" s="32" t="inlineStr">
        <is>
          <t>S mín. (mm²)</t>
        </is>
      </c>
      <c r="L14" s="32" t="inlineStr">
        <is>
          <t>ΔV previo (%)</t>
        </is>
      </c>
      <c r="M14" s="32" t="inlineStr">
        <is>
          <t>I (A)</t>
        </is>
      </c>
      <c r="N14" s="32" t="inlineStr">
        <is>
          <t>ITM (A)</t>
        </is>
      </c>
      <c r="O14" s="32" t="inlineStr">
        <is>
          <t>S (mm²)</t>
        </is>
      </c>
      <c r="P14" s="32" t="inlineStr">
        <is>
          <t>Iz·F (A)</t>
        </is>
      </c>
      <c r="Q14" s="32" t="inlineStr">
        <is>
          <t>ΔV tramo (%)</t>
        </is>
      </c>
      <c r="R14" s="32" t="inlineStr">
        <is>
          <t>ΔV acum. (%)</t>
        </is>
      </c>
      <c r="S14" s="32" t="inlineStr">
        <is>
          <t>Gobierna</t>
        </is>
      </c>
      <c r="T14" s="32" t="inlineStr">
        <is>
          <t>Estado</t>
        </is>
      </c>
    </row>
    <row r="15" ht="24" customHeight="1">
      <c r="B15" s="46" t="n">
        <v>1</v>
      </c>
      <c r="C15" s="57" t="inlineStr">
        <is>
          <t>Medidor → TG</t>
        </is>
      </c>
      <c r="D15" s="57" t="inlineStr">
        <is>
          <t>Alimentador</t>
        </is>
      </c>
      <c r="E15" s="57" t="inlineStr">
        <is>
          <t>Monofásico 220 V</t>
        </is>
      </c>
      <c r="F15" s="61" t="n">
        <v>9500</v>
      </c>
      <c r="G15" s="29" t="n">
        <v>0.9</v>
      </c>
      <c r="H15" s="52" t="n">
        <v>12</v>
      </c>
      <c r="I15" s="56" t="inlineStr">
        <is>
          <t>B1</t>
        </is>
      </c>
      <c r="J15" s="53" t="n">
        <v>1</v>
      </c>
      <c r="K15" s="52" t="n">
        <v>6</v>
      </c>
      <c r="L15" s="29" t="n">
        <v>0</v>
      </c>
      <c r="M15" s="47">
        <f>IF(V15=1,AA15,"")</f>
        <v/>
      </c>
      <c r="N15" s="36">
        <f>IF(V15=1,AB15,"")</f>
        <v/>
      </c>
      <c r="O15" s="35">
        <f>IF(V15=1,IF(AG15=1,INDEX(SECC,AF15),"Insuficiente"),"")</f>
        <v/>
      </c>
      <c r="P15" s="34">
        <f>IF(AND(V15=1,AG15=1),INDEX(TABLA2,AF15,Y15)*Z15,"")</f>
        <v/>
      </c>
      <c r="Q15" s="47">
        <f>IF(AND(V15=1,AG15=1),100*INDEX(SIS_K2,W15)*H15*AA15*($F$10*G15/O15+$F$13/1000*AK15)/INDEX(SIS_V,W15),"")</f>
        <v/>
      </c>
      <c r="R15" s="43">
        <f>IF(AND(V15=1,AG15=1),N(L15)+Q15,"")</f>
        <v/>
      </c>
      <c r="S15" s="68">
        <f>IF(V15=0,"",IF(AG15=0,"Insuficiente",IF(AND(AD15&gt;AC15,AD15&gt;=AE15),"Caída",IF(AC15&gt;=AE15,"Capacidad","S mínima"))))</f>
        <v/>
      </c>
      <c r="T15" s="42">
        <f>IF(C15="","",IF(V15=0,"REVISAR datos",IF(AH15=0,"REVISAR ΔV previo",IF(AG15=0,"NO CUMPLE",IF(AB15&lt;1.25*AA15-0.000001,"NO CUMPLE (ITM)",IF(AND(Q15&lt;=AJ15+0.000001,R15&lt;=$F$11+0.000001),"CUMPLE","NO CUMPLE"))))))</f>
        <v/>
      </c>
      <c r="V15" s="18">
        <f>IF(AND(C15&lt;&gt;"",D15&lt;&gt;"",E15&lt;&gt;"",N(F15)&gt;0,N(G15)&gt;0,N(H15)&gt;0,I15&lt;&gt;""),1,0)</f>
        <v/>
      </c>
      <c r="W15" s="18">
        <f>IF(V15=1,MATCH(E15,SIS_NOM,0),1)</f>
        <v/>
      </c>
      <c r="X15" s="18">
        <f>IF(V15=1,MATCH(I15,MET_COD,0),3)</f>
        <v/>
      </c>
      <c r="Y15" s="18">
        <f>(X15-1)*2+IF(INDEX(SIS_CARG,W15)=3,2,1)</f>
        <v/>
      </c>
      <c r="Z15" s="54">
        <f>IF(I15="D",INDEX(FT_TER,MATCH($F$9,FT_T,0)),INDEX(FT_AIR,MATCH($F$9,FT_T,0)))*INDEX(FA_F,MIN(COUNT(FA_N),COUNTIF(FA_N,"&lt;"&amp;MAX(1,N(J15)))+1))</f>
        <v/>
      </c>
      <c r="AA15" s="51">
        <f>IF(V15=1,F15/(INDEX(SIS_K,W15)*INDEX(SIS_V,W15)*G15),0)</f>
        <v/>
      </c>
      <c r="AB15" s="18">
        <f>INDEX(ITM,MIN(COUNT(ITM),COUNTIF(ITM,"&lt;"&amp;MAX(1.25*AA15,IF(D15="Circuito derivado",N($F$12),0))-0.000001)+1))</f>
        <v/>
      </c>
      <c r="AC15" s="18">
        <f>COUNTIF(INDEX(TABLA2,0,Y15),"&lt;"&amp;MAX(AB15,1.25*AA15)/Z15-0.000001)+1</f>
        <v/>
      </c>
      <c r="AD15" s="18">
        <f>IF(V15=1,IF(AL15&lt;=0,99,COUNTIF(SECC,"&lt;"&amp;INDEX(SIS_K2,W15)*$F$10*H15*AA15*G15/AL15-0.000001)+1),1)</f>
        <v/>
      </c>
      <c r="AE15" s="18">
        <f>IFERROR(MATCH(N(K15),SECC,0),2)</f>
        <v/>
      </c>
      <c r="AF15" s="18">
        <f>MAX(AC15,AD15,AE15)</f>
        <v/>
      </c>
      <c r="AG15" s="18">
        <f>IF(AF15&lt;=COUNT(INDEX(TABLA2,0,Y15)),1,0)</f>
        <v/>
      </c>
      <c r="AH15" s="18">
        <f>IF(OR(ISBLANK(L15),ISNUMBER(L15)),1,0)</f>
        <v/>
      </c>
      <c r="AI15" s="51">
        <f>MIN(AJ15,$F$11-N(L15))</f>
        <v/>
      </c>
      <c r="AJ15" s="51">
        <f>IF(V15=1,INDEX(TRAMO_LIM,MATCH(D15,TRAMO_NOM,0)),2.5)</f>
        <v/>
      </c>
      <c r="AK15" s="54">
        <f>SQRT(MAX(0,1-N(G15)^2))</f>
        <v/>
      </c>
      <c r="AL15" s="54">
        <f>AI15/100*INDEX(SIS_V,W15)-INDEX(SIS_K2,W15)*N(H15)*AA15*$F$13/1000*AK15</f>
        <v/>
      </c>
    </row>
    <row r="16" ht="24" customHeight="1">
      <c r="B16" s="46" t="n">
        <v>2</v>
      </c>
      <c r="C16" s="57" t="inlineStr">
        <is>
          <t>TG → TD-1 (2.° piso)</t>
        </is>
      </c>
      <c r="D16" s="57" t="inlineStr">
        <is>
          <t>Alimentador</t>
        </is>
      </c>
      <c r="E16" s="57" t="inlineStr">
        <is>
          <t>Monofásico 220 V</t>
        </is>
      </c>
      <c r="F16" s="61" t="n">
        <v>6200</v>
      </c>
      <c r="G16" s="29" t="n">
        <v>0.9</v>
      </c>
      <c r="H16" s="52" t="n">
        <v>18</v>
      </c>
      <c r="I16" s="56" t="inlineStr">
        <is>
          <t>B1</t>
        </is>
      </c>
      <c r="J16" s="53" t="n">
        <v>1</v>
      </c>
      <c r="K16" s="52" t="n">
        <v>4</v>
      </c>
      <c r="L16" s="29">
        <f>R15</f>
        <v/>
      </c>
      <c r="M16" s="47">
        <f>IF(V16=1,AA16,"")</f>
        <v/>
      </c>
      <c r="N16" s="36">
        <f>IF(V16=1,AB16,"")</f>
        <v/>
      </c>
      <c r="O16" s="35">
        <f>IF(V16=1,IF(AG16=1,INDEX(SECC,AF16),"Insuficiente"),"")</f>
        <v/>
      </c>
      <c r="P16" s="34">
        <f>IF(AND(V16=1,AG16=1),INDEX(TABLA2,AF16,Y16)*Z16,"")</f>
        <v/>
      </c>
      <c r="Q16" s="47">
        <f>IF(AND(V16=1,AG16=1),100*INDEX(SIS_K2,W16)*H16*AA16*($F$10*G16/O16+$F$13/1000*AK16)/INDEX(SIS_V,W16),"")</f>
        <v/>
      </c>
      <c r="R16" s="43">
        <f>IF(AND(V16=1,AG16=1),N(L16)+Q16,"")</f>
        <v/>
      </c>
      <c r="S16" s="68">
        <f>IF(V16=0,"",IF(AG16=0,"Insuficiente",IF(AND(AD16&gt;AC16,AD16&gt;=AE16),"Caída",IF(AC16&gt;=AE16,"Capacidad","S mínima"))))</f>
        <v/>
      </c>
      <c r="T16" s="42">
        <f>IF(C16="","",IF(V16=0,"REVISAR datos",IF(AH16=0,"REVISAR ΔV previo",IF(AG16=0,"NO CUMPLE",IF(AB16&lt;1.25*AA16-0.000001,"NO CUMPLE (ITM)",IF(AND(Q16&lt;=AJ16+0.000001,R16&lt;=$F$11+0.000001),"CUMPLE","NO CUMPLE"))))))</f>
        <v/>
      </c>
      <c r="V16" s="18">
        <f>IF(AND(C16&lt;&gt;"",D16&lt;&gt;"",E16&lt;&gt;"",N(F16)&gt;0,N(G16)&gt;0,N(H16)&gt;0,I16&lt;&gt;""),1,0)</f>
        <v/>
      </c>
      <c r="W16" s="18">
        <f>IF(V16=1,MATCH(E16,SIS_NOM,0),1)</f>
        <v/>
      </c>
      <c r="X16" s="18">
        <f>IF(V16=1,MATCH(I16,MET_COD,0),3)</f>
        <v/>
      </c>
      <c r="Y16" s="18">
        <f>(X16-1)*2+IF(INDEX(SIS_CARG,W16)=3,2,1)</f>
        <v/>
      </c>
      <c r="Z16" s="54">
        <f>IF(I16="D",INDEX(FT_TER,MATCH($F$9,FT_T,0)),INDEX(FT_AIR,MATCH($F$9,FT_T,0)))*INDEX(FA_F,MIN(COUNT(FA_N),COUNTIF(FA_N,"&lt;"&amp;MAX(1,N(J16)))+1))</f>
        <v/>
      </c>
      <c r="AA16" s="51">
        <f>IF(V16=1,F16/(INDEX(SIS_K,W16)*INDEX(SIS_V,W16)*G16),0)</f>
        <v/>
      </c>
      <c r="AB16" s="18">
        <f>INDEX(ITM,MIN(COUNT(ITM),COUNTIF(ITM,"&lt;"&amp;MAX(1.25*AA16,IF(D16="Circuito derivado",N($F$12),0))-0.000001)+1))</f>
        <v/>
      </c>
      <c r="AC16" s="18">
        <f>COUNTIF(INDEX(TABLA2,0,Y16),"&lt;"&amp;MAX(AB16,1.25*AA16)/Z16-0.000001)+1</f>
        <v/>
      </c>
      <c r="AD16" s="18">
        <f>IF(V16=1,IF(AL16&lt;=0,99,COUNTIF(SECC,"&lt;"&amp;INDEX(SIS_K2,W16)*$F$10*H16*AA16*G16/AL16-0.000001)+1),1)</f>
        <v/>
      </c>
      <c r="AE16" s="18">
        <f>IFERROR(MATCH(N(K16),SECC,0),2)</f>
        <v/>
      </c>
      <c r="AF16" s="18">
        <f>MAX(AC16,AD16,AE16)</f>
        <v/>
      </c>
      <c r="AG16" s="18">
        <f>IF(AF16&lt;=COUNT(INDEX(TABLA2,0,Y16)),1,0)</f>
        <v/>
      </c>
      <c r="AH16" s="18">
        <f>IF(OR(ISBLANK(L16),ISNUMBER(L16)),1,0)</f>
        <v/>
      </c>
      <c r="AI16" s="51">
        <f>MIN(AJ16,$F$11-N(L16))</f>
        <v/>
      </c>
      <c r="AJ16" s="51">
        <f>IF(V16=1,INDEX(TRAMO_LIM,MATCH(D16,TRAMO_NOM,0)),2.5)</f>
        <v/>
      </c>
      <c r="AK16" s="54">
        <f>SQRT(MAX(0,1-N(G16)^2))</f>
        <v/>
      </c>
      <c r="AL16" s="54">
        <f>AI16/100*INDEX(SIS_V,W16)-INDEX(SIS_K2,W16)*N(H16)*AA16*$F$13/1000*AK16</f>
        <v/>
      </c>
    </row>
    <row r="17" ht="24" customHeight="1">
      <c r="B17" s="46" t="n">
        <v>3</v>
      </c>
      <c r="C17" s="57" t="inlineStr">
        <is>
          <t>TD-1 · C-1 Alumbrado</t>
        </is>
      </c>
      <c r="D17" s="57" t="inlineStr">
        <is>
          <t>Circuito derivado</t>
        </is>
      </c>
      <c r="E17" s="57" t="inlineStr">
        <is>
          <t>Monofásico 220 V</t>
        </is>
      </c>
      <c r="F17" s="61" t="n">
        <v>800</v>
      </c>
      <c r="G17" s="29" t="n">
        <v>1</v>
      </c>
      <c r="H17" s="52" t="n">
        <v>22</v>
      </c>
      <c r="I17" s="56" t="inlineStr">
        <is>
          <t>B1</t>
        </is>
      </c>
      <c r="J17" s="53" t="n">
        <v>2</v>
      </c>
      <c r="K17" s="52" t="n">
        <v>2.5</v>
      </c>
      <c r="L17" s="29">
        <f>R16</f>
        <v/>
      </c>
      <c r="M17" s="47">
        <f>IF(V17=1,AA17,"")</f>
        <v/>
      </c>
      <c r="N17" s="36">
        <f>IF(V17=1,AB17,"")</f>
        <v/>
      </c>
      <c r="O17" s="35">
        <f>IF(V17=1,IF(AG17=1,INDEX(SECC,AF17),"Insuficiente"),"")</f>
        <v/>
      </c>
      <c r="P17" s="34">
        <f>IF(AND(V17=1,AG17=1),INDEX(TABLA2,AF17,Y17)*Z17,"")</f>
        <v/>
      </c>
      <c r="Q17" s="47">
        <f>IF(AND(V17=1,AG17=1),100*INDEX(SIS_K2,W17)*H17*AA17*($F$10*G17/O17+$F$13/1000*AK17)/INDEX(SIS_V,W17),"")</f>
        <v/>
      </c>
      <c r="R17" s="43">
        <f>IF(AND(V17=1,AG17=1),N(L17)+Q17,"")</f>
        <v/>
      </c>
      <c r="S17" s="68">
        <f>IF(V17=0,"",IF(AG17=0,"Insuficiente",IF(AND(AD17&gt;AC17,AD17&gt;=AE17),"Caída",IF(AC17&gt;=AE17,"Capacidad","S mínima"))))</f>
        <v/>
      </c>
      <c r="T17" s="42">
        <f>IF(C17="","",IF(V17=0,"REVISAR datos",IF(AH17=0,"REVISAR ΔV previo",IF(AG17=0,"NO CUMPLE",IF(AB17&lt;1.25*AA17-0.000001,"NO CUMPLE (ITM)",IF(AND(Q17&lt;=AJ17+0.000001,R17&lt;=$F$11+0.000001),"CUMPLE","NO CUMPLE"))))))</f>
        <v/>
      </c>
      <c r="V17" s="18">
        <f>IF(AND(C17&lt;&gt;"",D17&lt;&gt;"",E17&lt;&gt;"",N(F17)&gt;0,N(G17)&gt;0,N(H17)&gt;0,I17&lt;&gt;""),1,0)</f>
        <v/>
      </c>
      <c r="W17" s="18">
        <f>IF(V17=1,MATCH(E17,SIS_NOM,0),1)</f>
        <v/>
      </c>
      <c r="X17" s="18">
        <f>IF(V17=1,MATCH(I17,MET_COD,0),3)</f>
        <v/>
      </c>
      <c r="Y17" s="18">
        <f>(X17-1)*2+IF(INDEX(SIS_CARG,W17)=3,2,1)</f>
        <v/>
      </c>
      <c r="Z17" s="54">
        <f>IF(I17="D",INDEX(FT_TER,MATCH($F$9,FT_T,0)),INDEX(FT_AIR,MATCH($F$9,FT_T,0)))*INDEX(FA_F,MIN(COUNT(FA_N),COUNTIF(FA_N,"&lt;"&amp;MAX(1,N(J17)))+1))</f>
        <v/>
      </c>
      <c r="AA17" s="51">
        <f>IF(V17=1,F17/(INDEX(SIS_K,W17)*INDEX(SIS_V,W17)*G17),0)</f>
        <v/>
      </c>
      <c r="AB17" s="18">
        <f>INDEX(ITM,MIN(COUNT(ITM),COUNTIF(ITM,"&lt;"&amp;MAX(1.25*AA17,IF(D17="Circuito derivado",N($F$12),0))-0.000001)+1))</f>
        <v/>
      </c>
      <c r="AC17" s="18">
        <f>COUNTIF(INDEX(TABLA2,0,Y17),"&lt;"&amp;MAX(AB17,1.25*AA17)/Z17-0.000001)+1</f>
        <v/>
      </c>
      <c r="AD17" s="18">
        <f>IF(V17=1,IF(AL17&lt;=0,99,COUNTIF(SECC,"&lt;"&amp;INDEX(SIS_K2,W17)*$F$10*H17*AA17*G17/AL17-0.000001)+1),1)</f>
        <v/>
      </c>
      <c r="AE17" s="18">
        <f>IFERROR(MATCH(N(K17),SECC,0),2)</f>
        <v/>
      </c>
      <c r="AF17" s="18">
        <f>MAX(AC17,AD17,AE17)</f>
        <v/>
      </c>
      <c r="AG17" s="18">
        <f>IF(AF17&lt;=COUNT(INDEX(TABLA2,0,Y17)),1,0)</f>
        <v/>
      </c>
      <c r="AH17" s="18">
        <f>IF(OR(ISBLANK(L17),ISNUMBER(L17)),1,0)</f>
        <v/>
      </c>
      <c r="AI17" s="51">
        <f>MIN(AJ17,$F$11-N(L17))</f>
        <v/>
      </c>
      <c r="AJ17" s="51">
        <f>IF(V17=1,INDEX(TRAMO_LIM,MATCH(D17,TRAMO_NOM,0)),2.5)</f>
        <v/>
      </c>
      <c r="AK17" s="54">
        <f>SQRT(MAX(0,1-N(G17)^2))</f>
        <v/>
      </c>
      <c r="AL17" s="54">
        <f>AI17/100*INDEX(SIS_V,W17)-INDEX(SIS_K2,W17)*N(H17)*AA17*$F$13/1000*AK17</f>
        <v/>
      </c>
    </row>
    <row r="18" ht="24" customHeight="1">
      <c r="B18" s="46" t="n">
        <v>4</v>
      </c>
      <c r="C18" s="57" t="inlineStr">
        <is>
          <t>TD-1 · C-2 Tomacorrientes</t>
        </is>
      </c>
      <c r="D18" s="57" t="inlineStr">
        <is>
          <t>Circuito derivado</t>
        </is>
      </c>
      <c r="E18" s="57" t="inlineStr">
        <is>
          <t>Monofásico 220 V</t>
        </is>
      </c>
      <c r="F18" s="61" t="n">
        <v>1800</v>
      </c>
      <c r="G18" s="29" t="n">
        <v>0.9</v>
      </c>
      <c r="H18" s="52" t="n">
        <v>25</v>
      </c>
      <c r="I18" s="56" t="inlineStr">
        <is>
          <t>B1</t>
        </is>
      </c>
      <c r="J18" s="53" t="n">
        <v>2</v>
      </c>
      <c r="K18" s="52" t="n">
        <v>4</v>
      </c>
      <c r="L18" s="29">
        <f>R16</f>
        <v/>
      </c>
      <c r="M18" s="47">
        <f>IF(V18=1,AA18,"")</f>
        <v/>
      </c>
      <c r="N18" s="36">
        <f>IF(V18=1,AB18,"")</f>
        <v/>
      </c>
      <c r="O18" s="35">
        <f>IF(V18=1,IF(AG18=1,INDEX(SECC,AF18),"Insuficiente"),"")</f>
        <v/>
      </c>
      <c r="P18" s="34">
        <f>IF(AND(V18=1,AG18=1),INDEX(TABLA2,AF18,Y18)*Z18,"")</f>
        <v/>
      </c>
      <c r="Q18" s="47">
        <f>IF(AND(V18=1,AG18=1),100*INDEX(SIS_K2,W18)*H18*AA18*($F$10*G18/O18+$F$13/1000*AK18)/INDEX(SIS_V,W18),"")</f>
        <v/>
      </c>
      <c r="R18" s="43">
        <f>IF(AND(V18=1,AG18=1),N(L18)+Q18,"")</f>
        <v/>
      </c>
      <c r="S18" s="68">
        <f>IF(V18=0,"",IF(AG18=0,"Insuficiente",IF(AND(AD18&gt;AC18,AD18&gt;=AE18),"Caída",IF(AC18&gt;=AE18,"Capacidad","S mínima"))))</f>
        <v/>
      </c>
      <c r="T18" s="42">
        <f>IF(C18="","",IF(V18=0,"REVISAR datos",IF(AH18=0,"REVISAR ΔV previo",IF(AG18=0,"NO CUMPLE",IF(AB18&lt;1.25*AA18-0.000001,"NO CUMPLE (ITM)",IF(AND(Q18&lt;=AJ18+0.000001,R18&lt;=$F$11+0.000001),"CUMPLE","NO CUMPLE"))))))</f>
        <v/>
      </c>
      <c r="V18" s="18">
        <f>IF(AND(C18&lt;&gt;"",D18&lt;&gt;"",E18&lt;&gt;"",N(F18)&gt;0,N(G18)&gt;0,N(H18)&gt;0,I18&lt;&gt;""),1,0)</f>
        <v/>
      </c>
      <c r="W18" s="18">
        <f>IF(V18=1,MATCH(E18,SIS_NOM,0),1)</f>
        <v/>
      </c>
      <c r="X18" s="18">
        <f>IF(V18=1,MATCH(I18,MET_COD,0),3)</f>
        <v/>
      </c>
      <c r="Y18" s="18">
        <f>(X18-1)*2+IF(INDEX(SIS_CARG,W18)=3,2,1)</f>
        <v/>
      </c>
      <c r="Z18" s="54">
        <f>IF(I18="D",INDEX(FT_TER,MATCH($F$9,FT_T,0)),INDEX(FT_AIR,MATCH($F$9,FT_T,0)))*INDEX(FA_F,MIN(COUNT(FA_N),COUNTIF(FA_N,"&lt;"&amp;MAX(1,N(J18)))+1))</f>
        <v/>
      </c>
      <c r="AA18" s="51">
        <f>IF(V18=1,F18/(INDEX(SIS_K,W18)*INDEX(SIS_V,W18)*G18),0)</f>
        <v/>
      </c>
      <c r="AB18" s="18">
        <f>INDEX(ITM,MIN(COUNT(ITM),COUNTIF(ITM,"&lt;"&amp;MAX(1.25*AA18,IF(D18="Circuito derivado",N($F$12),0))-0.000001)+1))</f>
        <v/>
      </c>
      <c r="AC18" s="18">
        <f>COUNTIF(INDEX(TABLA2,0,Y18),"&lt;"&amp;MAX(AB18,1.25*AA18)/Z18-0.000001)+1</f>
        <v/>
      </c>
      <c r="AD18" s="18">
        <f>IF(V18=1,IF(AL18&lt;=0,99,COUNTIF(SECC,"&lt;"&amp;INDEX(SIS_K2,W18)*$F$10*H18*AA18*G18/AL18-0.000001)+1),1)</f>
        <v/>
      </c>
      <c r="AE18" s="18">
        <f>IFERROR(MATCH(N(K18),SECC,0),2)</f>
        <v/>
      </c>
      <c r="AF18" s="18">
        <f>MAX(AC18,AD18,AE18)</f>
        <v/>
      </c>
      <c r="AG18" s="18">
        <f>IF(AF18&lt;=COUNT(INDEX(TABLA2,0,Y18)),1,0)</f>
        <v/>
      </c>
      <c r="AH18" s="18">
        <f>IF(OR(ISBLANK(L18),ISNUMBER(L18)),1,0)</f>
        <v/>
      </c>
      <c r="AI18" s="51">
        <f>MIN(AJ18,$F$11-N(L18))</f>
        <v/>
      </c>
      <c r="AJ18" s="51">
        <f>IF(V18=1,INDEX(TRAMO_LIM,MATCH(D18,TRAMO_NOM,0)),2.5)</f>
        <v/>
      </c>
      <c r="AK18" s="54">
        <f>SQRT(MAX(0,1-N(G18)^2))</f>
        <v/>
      </c>
      <c r="AL18" s="54">
        <f>AI18/100*INDEX(SIS_V,W18)-INDEX(SIS_K2,W18)*N(H18)*AA18*$F$13/1000*AK18</f>
        <v/>
      </c>
    </row>
    <row r="19" ht="24" customHeight="1">
      <c r="B19" s="46" t="n">
        <v>5</v>
      </c>
      <c r="C19" s="57" t="inlineStr">
        <is>
          <t>TD-1 · C-3 Cocina eléctrica</t>
        </is>
      </c>
      <c r="D19" s="57" t="inlineStr">
        <is>
          <t>Circuito derivado</t>
        </is>
      </c>
      <c r="E19" s="57" t="inlineStr">
        <is>
          <t>Monofásico 220 V</t>
        </is>
      </c>
      <c r="F19" s="61" t="n">
        <v>8000</v>
      </c>
      <c r="G19" s="29" t="n">
        <v>1</v>
      </c>
      <c r="H19" s="52" t="n">
        <v>14</v>
      </c>
      <c r="I19" s="56" t="inlineStr">
        <is>
          <t>B1</t>
        </is>
      </c>
      <c r="J19" s="53" t="n">
        <v>1</v>
      </c>
      <c r="K19" s="52" t="n">
        <v>4</v>
      </c>
      <c r="L19" s="29">
        <f>R16</f>
        <v/>
      </c>
      <c r="M19" s="47">
        <f>IF(V19=1,AA19,"")</f>
        <v/>
      </c>
      <c r="N19" s="36">
        <f>IF(V19=1,AB19,"")</f>
        <v/>
      </c>
      <c r="O19" s="35">
        <f>IF(V19=1,IF(AG19=1,INDEX(SECC,AF19),"Insuficiente"),"")</f>
        <v/>
      </c>
      <c r="P19" s="34">
        <f>IF(AND(V19=1,AG19=1),INDEX(TABLA2,AF19,Y19)*Z19,"")</f>
        <v/>
      </c>
      <c r="Q19" s="47">
        <f>IF(AND(V19=1,AG19=1),100*INDEX(SIS_K2,W19)*H19*AA19*($F$10*G19/O19+$F$13/1000*AK19)/INDEX(SIS_V,W19),"")</f>
        <v/>
      </c>
      <c r="R19" s="43">
        <f>IF(AND(V19=1,AG19=1),N(L19)+Q19,"")</f>
        <v/>
      </c>
      <c r="S19" s="68">
        <f>IF(V19=0,"",IF(AG19=0,"Insuficiente",IF(AND(AD19&gt;AC19,AD19&gt;=AE19),"Caída",IF(AC19&gt;=AE19,"Capacidad","S mínima"))))</f>
        <v/>
      </c>
      <c r="T19" s="42">
        <f>IF(C19="","",IF(V19=0,"REVISAR datos",IF(AH19=0,"REVISAR ΔV previo",IF(AG19=0,"NO CUMPLE",IF(AB19&lt;1.25*AA19-0.000001,"NO CUMPLE (ITM)",IF(AND(Q19&lt;=AJ19+0.000001,R19&lt;=$F$11+0.000001),"CUMPLE","NO CUMPLE"))))))</f>
        <v/>
      </c>
      <c r="V19" s="18">
        <f>IF(AND(C19&lt;&gt;"",D19&lt;&gt;"",E19&lt;&gt;"",N(F19)&gt;0,N(G19)&gt;0,N(H19)&gt;0,I19&lt;&gt;""),1,0)</f>
        <v/>
      </c>
      <c r="W19" s="18">
        <f>IF(V19=1,MATCH(E19,SIS_NOM,0),1)</f>
        <v/>
      </c>
      <c r="X19" s="18">
        <f>IF(V19=1,MATCH(I19,MET_COD,0),3)</f>
        <v/>
      </c>
      <c r="Y19" s="18">
        <f>(X19-1)*2+IF(INDEX(SIS_CARG,W19)=3,2,1)</f>
        <v/>
      </c>
      <c r="Z19" s="54">
        <f>IF(I19="D",INDEX(FT_TER,MATCH($F$9,FT_T,0)),INDEX(FT_AIR,MATCH($F$9,FT_T,0)))*INDEX(FA_F,MIN(COUNT(FA_N),COUNTIF(FA_N,"&lt;"&amp;MAX(1,N(J19)))+1))</f>
        <v/>
      </c>
      <c r="AA19" s="51">
        <f>IF(V19=1,F19/(INDEX(SIS_K,W19)*INDEX(SIS_V,W19)*G19),0)</f>
        <v/>
      </c>
      <c r="AB19" s="18">
        <f>INDEX(ITM,MIN(COUNT(ITM),COUNTIF(ITM,"&lt;"&amp;MAX(1.25*AA19,IF(D19="Circuito derivado",N($F$12),0))-0.000001)+1))</f>
        <v/>
      </c>
      <c r="AC19" s="18">
        <f>COUNTIF(INDEX(TABLA2,0,Y19),"&lt;"&amp;MAX(AB19,1.25*AA19)/Z19-0.000001)+1</f>
        <v/>
      </c>
      <c r="AD19" s="18">
        <f>IF(V19=1,IF(AL19&lt;=0,99,COUNTIF(SECC,"&lt;"&amp;INDEX(SIS_K2,W19)*$F$10*H19*AA19*G19/AL19-0.000001)+1),1)</f>
        <v/>
      </c>
      <c r="AE19" s="18">
        <f>IFERROR(MATCH(N(K19),SECC,0),2)</f>
        <v/>
      </c>
      <c r="AF19" s="18">
        <f>MAX(AC19,AD19,AE19)</f>
        <v/>
      </c>
      <c r="AG19" s="18">
        <f>IF(AF19&lt;=COUNT(INDEX(TABLA2,0,Y19)),1,0)</f>
        <v/>
      </c>
      <c r="AH19" s="18">
        <f>IF(OR(ISBLANK(L19),ISNUMBER(L19)),1,0)</f>
        <v/>
      </c>
      <c r="AI19" s="51">
        <f>MIN(AJ19,$F$11-N(L19))</f>
        <v/>
      </c>
      <c r="AJ19" s="51">
        <f>IF(V19=1,INDEX(TRAMO_LIM,MATCH(D19,TRAMO_NOM,0)),2.5)</f>
        <v/>
      </c>
      <c r="AK19" s="54">
        <f>SQRT(MAX(0,1-N(G19)^2))</f>
        <v/>
      </c>
      <c r="AL19" s="54">
        <f>AI19/100*INDEX(SIS_V,W19)-INDEX(SIS_K2,W19)*N(H19)*AA19*$F$13/1000*AK19</f>
        <v/>
      </c>
    </row>
    <row r="20" ht="24" customHeight="1">
      <c r="B20" s="46" t="n">
        <v>6</v>
      </c>
      <c r="C20" s="57" t="inlineStr">
        <is>
          <t>TD-1 · C-4 Terma</t>
        </is>
      </c>
      <c r="D20" s="57" t="inlineStr">
        <is>
          <t>Circuito derivado</t>
        </is>
      </c>
      <c r="E20" s="57" t="inlineStr">
        <is>
          <t>Monofásico 220 V</t>
        </is>
      </c>
      <c r="F20" s="61" t="n">
        <v>1500</v>
      </c>
      <c r="G20" s="29" t="n">
        <v>1</v>
      </c>
      <c r="H20" s="52" t="n">
        <v>12</v>
      </c>
      <c r="I20" s="56" t="inlineStr">
        <is>
          <t>B1</t>
        </is>
      </c>
      <c r="J20" s="53" t="n">
        <v>1</v>
      </c>
      <c r="K20" s="52" t="n">
        <v>4</v>
      </c>
      <c r="L20" s="29">
        <f>R16</f>
        <v/>
      </c>
      <c r="M20" s="47">
        <f>IF(V20=1,AA20,"")</f>
        <v/>
      </c>
      <c r="N20" s="36">
        <f>IF(V20=1,AB20,"")</f>
        <v/>
      </c>
      <c r="O20" s="35">
        <f>IF(V20=1,IF(AG20=1,INDEX(SECC,AF20),"Insuficiente"),"")</f>
        <v/>
      </c>
      <c r="P20" s="34">
        <f>IF(AND(V20=1,AG20=1),INDEX(TABLA2,AF20,Y20)*Z20,"")</f>
        <v/>
      </c>
      <c r="Q20" s="47">
        <f>IF(AND(V20=1,AG20=1),100*INDEX(SIS_K2,W20)*H20*AA20*($F$10*G20/O20+$F$13/1000*AK20)/INDEX(SIS_V,W20),"")</f>
        <v/>
      </c>
      <c r="R20" s="43">
        <f>IF(AND(V20=1,AG20=1),N(L20)+Q20,"")</f>
        <v/>
      </c>
      <c r="S20" s="68">
        <f>IF(V20=0,"",IF(AG20=0,"Insuficiente",IF(AND(AD20&gt;AC20,AD20&gt;=AE20),"Caída",IF(AC20&gt;=AE20,"Capacidad","S mínima"))))</f>
        <v/>
      </c>
      <c r="T20" s="42">
        <f>IF(C20="","",IF(V20=0,"REVISAR datos",IF(AH20=0,"REVISAR ΔV previo",IF(AG20=0,"NO CUMPLE",IF(AB20&lt;1.25*AA20-0.000001,"NO CUMPLE (ITM)",IF(AND(Q20&lt;=AJ20+0.000001,R20&lt;=$F$11+0.000001),"CUMPLE","NO CUMPLE"))))))</f>
        <v/>
      </c>
      <c r="V20" s="18">
        <f>IF(AND(C20&lt;&gt;"",D20&lt;&gt;"",E20&lt;&gt;"",N(F20)&gt;0,N(G20)&gt;0,N(H20)&gt;0,I20&lt;&gt;""),1,0)</f>
        <v/>
      </c>
      <c r="W20" s="18">
        <f>IF(V20=1,MATCH(E20,SIS_NOM,0),1)</f>
        <v/>
      </c>
      <c r="X20" s="18">
        <f>IF(V20=1,MATCH(I20,MET_COD,0),3)</f>
        <v/>
      </c>
      <c r="Y20" s="18">
        <f>(X20-1)*2+IF(INDEX(SIS_CARG,W20)=3,2,1)</f>
        <v/>
      </c>
      <c r="Z20" s="54">
        <f>IF(I20="D",INDEX(FT_TER,MATCH($F$9,FT_T,0)),INDEX(FT_AIR,MATCH($F$9,FT_T,0)))*INDEX(FA_F,MIN(COUNT(FA_N),COUNTIF(FA_N,"&lt;"&amp;MAX(1,N(J20)))+1))</f>
        <v/>
      </c>
      <c r="AA20" s="51">
        <f>IF(V20=1,F20/(INDEX(SIS_K,W20)*INDEX(SIS_V,W20)*G20),0)</f>
        <v/>
      </c>
      <c r="AB20" s="18">
        <f>INDEX(ITM,MIN(COUNT(ITM),COUNTIF(ITM,"&lt;"&amp;MAX(1.25*AA20,IF(D20="Circuito derivado",N($F$12),0))-0.000001)+1))</f>
        <v/>
      </c>
      <c r="AC20" s="18">
        <f>COUNTIF(INDEX(TABLA2,0,Y20),"&lt;"&amp;MAX(AB20,1.25*AA20)/Z20-0.000001)+1</f>
        <v/>
      </c>
      <c r="AD20" s="18">
        <f>IF(V20=1,IF(AL20&lt;=0,99,COUNTIF(SECC,"&lt;"&amp;INDEX(SIS_K2,W20)*$F$10*H20*AA20*G20/AL20-0.000001)+1),1)</f>
        <v/>
      </c>
      <c r="AE20" s="18">
        <f>IFERROR(MATCH(N(K20),SECC,0),2)</f>
        <v/>
      </c>
      <c r="AF20" s="18">
        <f>MAX(AC20,AD20,AE20)</f>
        <v/>
      </c>
      <c r="AG20" s="18">
        <f>IF(AF20&lt;=COUNT(INDEX(TABLA2,0,Y20)),1,0)</f>
        <v/>
      </c>
      <c r="AH20" s="18">
        <f>IF(OR(ISBLANK(L20),ISNUMBER(L20)),1,0)</f>
        <v/>
      </c>
      <c r="AI20" s="51">
        <f>MIN(AJ20,$F$11-N(L20))</f>
        <v/>
      </c>
      <c r="AJ20" s="51">
        <f>IF(V20=1,INDEX(TRAMO_LIM,MATCH(D20,TRAMO_NOM,0)),2.5)</f>
        <v/>
      </c>
      <c r="AK20" s="54">
        <f>SQRT(MAX(0,1-N(G20)^2))</f>
        <v/>
      </c>
      <c r="AL20" s="54">
        <f>AI20/100*INDEX(SIS_V,W20)-INDEX(SIS_K2,W20)*N(H20)*AA20*$F$13/1000*AK20</f>
        <v/>
      </c>
    </row>
    <row r="21" ht="24" customHeight="1">
      <c r="B21" s="46" t="n">
        <v>7</v>
      </c>
      <c r="C21" s="57" t="inlineStr">
        <is>
          <t>TG → Electrobomba 2 HP (trifásica)</t>
        </is>
      </c>
      <c r="D21" s="57" t="inlineStr">
        <is>
          <t>Circuito derivado</t>
        </is>
      </c>
      <c r="E21" s="57" t="inlineStr">
        <is>
          <t>Trifásico 380/220 V (4 hilos)</t>
        </is>
      </c>
      <c r="F21" s="61" t="n">
        <v>1870</v>
      </c>
      <c r="G21" s="29" t="n">
        <v>0.85</v>
      </c>
      <c r="H21" s="52" t="n">
        <v>30</v>
      </c>
      <c r="I21" s="56" t="inlineStr">
        <is>
          <t>B1</t>
        </is>
      </c>
      <c r="J21" s="53" t="n">
        <v>1</v>
      </c>
      <c r="K21" s="52" t="n">
        <v>2.5</v>
      </c>
      <c r="L21" s="29">
        <f>R15</f>
        <v/>
      </c>
      <c r="M21" s="47">
        <f>IF(V21=1,AA21,"")</f>
        <v/>
      </c>
      <c r="N21" s="36">
        <f>IF(V21=1,AB21,"")</f>
        <v/>
      </c>
      <c r="O21" s="35">
        <f>IF(V21=1,IF(AG21=1,INDEX(SECC,AF21),"Insuficiente"),"")</f>
        <v/>
      </c>
      <c r="P21" s="34">
        <f>IF(AND(V21=1,AG21=1),INDEX(TABLA2,AF21,Y21)*Z21,"")</f>
        <v/>
      </c>
      <c r="Q21" s="47">
        <f>IF(AND(V21=1,AG21=1),100*INDEX(SIS_K2,W21)*H21*AA21*($F$10*G21/O21+$F$13/1000*AK21)/INDEX(SIS_V,W21),"")</f>
        <v/>
      </c>
      <c r="R21" s="43">
        <f>IF(AND(V21=1,AG21=1),N(L21)+Q21,"")</f>
        <v/>
      </c>
      <c r="S21" s="68">
        <f>IF(V21=0,"",IF(AG21=0,"Insuficiente",IF(AND(AD21&gt;AC21,AD21&gt;=AE21),"Caída",IF(AC21&gt;=AE21,"Capacidad","S mínima"))))</f>
        <v/>
      </c>
      <c r="T21" s="42">
        <f>IF(C21="","",IF(V21=0,"REVISAR datos",IF(AH21=0,"REVISAR ΔV previo",IF(AG21=0,"NO CUMPLE",IF(AB21&lt;1.25*AA21-0.000001,"NO CUMPLE (ITM)",IF(AND(Q21&lt;=AJ21+0.000001,R21&lt;=$F$11+0.000001),"CUMPLE","NO CUMPLE"))))))</f>
        <v/>
      </c>
      <c r="V21" s="18">
        <f>IF(AND(C21&lt;&gt;"",D21&lt;&gt;"",E21&lt;&gt;"",N(F21)&gt;0,N(G21)&gt;0,N(H21)&gt;0,I21&lt;&gt;""),1,0)</f>
        <v/>
      </c>
      <c r="W21" s="18">
        <f>IF(V21=1,MATCH(E21,SIS_NOM,0),1)</f>
        <v/>
      </c>
      <c r="X21" s="18">
        <f>IF(V21=1,MATCH(I21,MET_COD,0),3)</f>
        <v/>
      </c>
      <c r="Y21" s="18">
        <f>(X21-1)*2+IF(INDEX(SIS_CARG,W21)=3,2,1)</f>
        <v/>
      </c>
      <c r="Z21" s="54">
        <f>IF(I21="D",INDEX(FT_TER,MATCH($F$9,FT_T,0)),INDEX(FT_AIR,MATCH($F$9,FT_T,0)))*INDEX(FA_F,MIN(COUNT(FA_N),COUNTIF(FA_N,"&lt;"&amp;MAX(1,N(J21)))+1))</f>
        <v/>
      </c>
      <c r="AA21" s="51">
        <f>IF(V21=1,F21/(INDEX(SIS_K,W21)*INDEX(SIS_V,W21)*G21),0)</f>
        <v/>
      </c>
      <c r="AB21" s="18">
        <f>INDEX(ITM,MIN(COUNT(ITM),COUNTIF(ITM,"&lt;"&amp;MAX(1.25*AA21,IF(D21="Circuito derivado",N($F$12),0))-0.000001)+1))</f>
        <v/>
      </c>
      <c r="AC21" s="18">
        <f>COUNTIF(INDEX(TABLA2,0,Y21),"&lt;"&amp;MAX(AB21,1.25*AA21)/Z21-0.000001)+1</f>
        <v/>
      </c>
      <c r="AD21" s="18">
        <f>IF(V21=1,IF(AL21&lt;=0,99,COUNTIF(SECC,"&lt;"&amp;INDEX(SIS_K2,W21)*$F$10*H21*AA21*G21/AL21-0.000001)+1),1)</f>
        <v/>
      </c>
      <c r="AE21" s="18">
        <f>IFERROR(MATCH(N(K21),SECC,0),2)</f>
        <v/>
      </c>
      <c r="AF21" s="18">
        <f>MAX(AC21,AD21,AE21)</f>
        <v/>
      </c>
      <c r="AG21" s="18">
        <f>IF(AF21&lt;=COUNT(INDEX(TABLA2,0,Y21)),1,0)</f>
        <v/>
      </c>
      <c r="AH21" s="18">
        <f>IF(OR(ISBLANK(L21),ISNUMBER(L21)),1,0)</f>
        <v/>
      </c>
      <c r="AI21" s="51">
        <f>MIN(AJ21,$F$11-N(L21))</f>
        <v/>
      </c>
      <c r="AJ21" s="51">
        <f>IF(V21=1,INDEX(TRAMO_LIM,MATCH(D21,TRAMO_NOM,0)),2.5)</f>
        <v/>
      </c>
      <c r="AK21" s="54">
        <f>SQRT(MAX(0,1-N(G21)^2))</f>
        <v/>
      </c>
      <c r="AL21" s="54">
        <f>AI21/100*INDEX(SIS_V,W21)-INDEX(SIS_K2,W21)*N(H21)*AA21*$F$13/1000*AK21</f>
        <v/>
      </c>
    </row>
    <row r="22" ht="24" customHeight="1">
      <c r="B22" s="46" t="n">
        <v>8</v>
      </c>
      <c r="C22" s="57" t="n"/>
      <c r="D22" s="57" t="n"/>
      <c r="E22" s="57" t="n"/>
      <c r="F22" s="61" t="n"/>
      <c r="G22" s="29" t="n"/>
      <c r="H22" s="52" t="n"/>
      <c r="I22" s="56" t="n"/>
      <c r="J22" s="53" t="n"/>
      <c r="K22" s="52" t="n"/>
      <c r="L22" s="29" t="n"/>
      <c r="M22" s="47">
        <f>IF(V22=1,AA22,"")</f>
        <v/>
      </c>
      <c r="N22" s="36">
        <f>IF(V22=1,AB22,"")</f>
        <v/>
      </c>
      <c r="O22" s="35">
        <f>IF(V22=1,IF(AG22=1,INDEX(SECC,AF22),"Insuficiente"),"")</f>
        <v/>
      </c>
      <c r="P22" s="34">
        <f>IF(AND(V22=1,AG22=1),INDEX(TABLA2,AF22,Y22)*Z22,"")</f>
        <v/>
      </c>
      <c r="Q22" s="47">
        <f>IF(AND(V22=1,AG22=1),100*INDEX(SIS_K2,W22)*H22*AA22*($F$10*G22/O22+$F$13/1000*AK22)/INDEX(SIS_V,W22),"")</f>
        <v/>
      </c>
      <c r="R22" s="43">
        <f>IF(AND(V22=1,AG22=1),N(L22)+Q22,"")</f>
        <v/>
      </c>
      <c r="S22" s="68">
        <f>IF(V22=0,"",IF(AG22=0,"Insuficiente",IF(AND(AD22&gt;AC22,AD22&gt;=AE22),"Caída",IF(AC22&gt;=AE22,"Capacidad","S mínima"))))</f>
        <v/>
      </c>
      <c r="T22" s="42">
        <f>IF(C22="","",IF(V22=0,"REVISAR datos",IF(AH22=0,"REVISAR ΔV previo",IF(AG22=0,"NO CUMPLE",IF(AB22&lt;1.25*AA22-0.000001,"NO CUMPLE (ITM)",IF(AND(Q22&lt;=AJ22+0.000001,R22&lt;=$F$11+0.000001),"CUMPLE","NO CUMPLE"))))))</f>
        <v/>
      </c>
      <c r="V22" s="18">
        <f>IF(AND(C22&lt;&gt;"",D22&lt;&gt;"",E22&lt;&gt;"",N(F22)&gt;0,N(G22)&gt;0,N(H22)&gt;0,I22&lt;&gt;""),1,0)</f>
        <v/>
      </c>
      <c r="W22" s="18">
        <f>IF(V22=1,MATCH(E22,SIS_NOM,0),1)</f>
        <v/>
      </c>
      <c r="X22" s="18">
        <f>IF(V22=1,MATCH(I22,MET_COD,0),3)</f>
        <v/>
      </c>
      <c r="Y22" s="18">
        <f>(X22-1)*2+IF(INDEX(SIS_CARG,W22)=3,2,1)</f>
        <v/>
      </c>
      <c r="Z22" s="54">
        <f>IF(I22="D",INDEX(FT_TER,MATCH($F$9,FT_T,0)),INDEX(FT_AIR,MATCH($F$9,FT_T,0)))*INDEX(FA_F,MIN(COUNT(FA_N),COUNTIF(FA_N,"&lt;"&amp;MAX(1,N(J22)))+1))</f>
        <v/>
      </c>
      <c r="AA22" s="51">
        <f>IF(V22=1,F22/(INDEX(SIS_K,W22)*INDEX(SIS_V,W22)*G22),0)</f>
        <v/>
      </c>
      <c r="AB22" s="18">
        <f>INDEX(ITM,MIN(COUNT(ITM),COUNTIF(ITM,"&lt;"&amp;MAX(1.25*AA22,IF(D22="Circuito derivado",N($F$12),0))-0.000001)+1))</f>
        <v/>
      </c>
      <c r="AC22" s="18">
        <f>COUNTIF(INDEX(TABLA2,0,Y22),"&lt;"&amp;MAX(AB22,1.25*AA22)/Z22-0.000001)+1</f>
        <v/>
      </c>
      <c r="AD22" s="18">
        <f>IF(V22=1,IF(AL22&lt;=0,99,COUNTIF(SECC,"&lt;"&amp;INDEX(SIS_K2,W22)*$F$10*H22*AA22*G22/AL22-0.000001)+1),1)</f>
        <v/>
      </c>
      <c r="AE22" s="18">
        <f>IFERROR(MATCH(N(K22),SECC,0),2)</f>
        <v/>
      </c>
      <c r="AF22" s="18">
        <f>MAX(AC22,AD22,AE22)</f>
        <v/>
      </c>
      <c r="AG22" s="18">
        <f>IF(AF22&lt;=COUNT(INDEX(TABLA2,0,Y22)),1,0)</f>
        <v/>
      </c>
      <c r="AH22" s="18">
        <f>IF(OR(ISBLANK(L22),ISNUMBER(L22)),1,0)</f>
        <v/>
      </c>
      <c r="AI22" s="51">
        <f>MIN(AJ22,$F$11-N(L22))</f>
        <v/>
      </c>
      <c r="AJ22" s="51">
        <f>IF(V22=1,INDEX(TRAMO_LIM,MATCH(D22,TRAMO_NOM,0)),2.5)</f>
        <v/>
      </c>
      <c r="AK22" s="54">
        <f>SQRT(MAX(0,1-N(G22)^2))</f>
        <v/>
      </c>
      <c r="AL22" s="54">
        <f>AI22/100*INDEX(SIS_V,W22)-INDEX(SIS_K2,W22)*N(H22)*AA22*$F$13/1000*AK22</f>
        <v/>
      </c>
    </row>
    <row r="23" ht="24" customHeight="1">
      <c r="B23" s="46" t="n">
        <v>9</v>
      </c>
      <c r="C23" s="57" t="n"/>
      <c r="D23" s="57" t="n"/>
      <c r="E23" s="57" t="n"/>
      <c r="F23" s="61" t="n"/>
      <c r="G23" s="29" t="n"/>
      <c r="H23" s="52" t="n"/>
      <c r="I23" s="56" t="n"/>
      <c r="J23" s="53" t="n"/>
      <c r="K23" s="52" t="n"/>
      <c r="L23" s="29" t="n"/>
      <c r="M23" s="47">
        <f>IF(V23=1,AA23,"")</f>
        <v/>
      </c>
      <c r="N23" s="36">
        <f>IF(V23=1,AB23,"")</f>
        <v/>
      </c>
      <c r="O23" s="35">
        <f>IF(V23=1,IF(AG23=1,INDEX(SECC,AF23),"Insuficiente"),"")</f>
        <v/>
      </c>
      <c r="P23" s="34">
        <f>IF(AND(V23=1,AG23=1),INDEX(TABLA2,AF23,Y23)*Z23,"")</f>
        <v/>
      </c>
      <c r="Q23" s="47">
        <f>IF(AND(V23=1,AG23=1),100*INDEX(SIS_K2,W23)*H23*AA23*($F$10*G23/O23+$F$13/1000*AK23)/INDEX(SIS_V,W23),"")</f>
        <v/>
      </c>
      <c r="R23" s="43">
        <f>IF(AND(V23=1,AG23=1),N(L23)+Q23,"")</f>
        <v/>
      </c>
      <c r="S23" s="68">
        <f>IF(V23=0,"",IF(AG23=0,"Insuficiente",IF(AND(AD23&gt;AC23,AD23&gt;=AE23),"Caída",IF(AC23&gt;=AE23,"Capacidad","S mínima"))))</f>
        <v/>
      </c>
      <c r="T23" s="42">
        <f>IF(C23="","",IF(V23=0,"REVISAR datos",IF(AH23=0,"REVISAR ΔV previo",IF(AG23=0,"NO CUMPLE",IF(AB23&lt;1.25*AA23-0.000001,"NO CUMPLE (ITM)",IF(AND(Q23&lt;=AJ23+0.000001,R23&lt;=$F$11+0.000001),"CUMPLE","NO CUMPLE"))))))</f>
        <v/>
      </c>
      <c r="V23" s="18">
        <f>IF(AND(C23&lt;&gt;"",D23&lt;&gt;"",E23&lt;&gt;"",N(F23)&gt;0,N(G23)&gt;0,N(H23)&gt;0,I23&lt;&gt;""),1,0)</f>
        <v/>
      </c>
      <c r="W23" s="18">
        <f>IF(V23=1,MATCH(E23,SIS_NOM,0),1)</f>
        <v/>
      </c>
      <c r="X23" s="18">
        <f>IF(V23=1,MATCH(I23,MET_COD,0),3)</f>
        <v/>
      </c>
      <c r="Y23" s="18">
        <f>(X23-1)*2+IF(INDEX(SIS_CARG,W23)=3,2,1)</f>
        <v/>
      </c>
      <c r="Z23" s="54">
        <f>IF(I23="D",INDEX(FT_TER,MATCH($F$9,FT_T,0)),INDEX(FT_AIR,MATCH($F$9,FT_T,0)))*INDEX(FA_F,MIN(COUNT(FA_N),COUNTIF(FA_N,"&lt;"&amp;MAX(1,N(J23)))+1))</f>
        <v/>
      </c>
      <c r="AA23" s="51">
        <f>IF(V23=1,F23/(INDEX(SIS_K,W23)*INDEX(SIS_V,W23)*G23),0)</f>
        <v/>
      </c>
      <c r="AB23" s="18">
        <f>INDEX(ITM,MIN(COUNT(ITM),COUNTIF(ITM,"&lt;"&amp;MAX(1.25*AA23,IF(D23="Circuito derivado",N($F$12),0))-0.000001)+1))</f>
        <v/>
      </c>
      <c r="AC23" s="18">
        <f>COUNTIF(INDEX(TABLA2,0,Y23),"&lt;"&amp;MAX(AB23,1.25*AA23)/Z23-0.000001)+1</f>
        <v/>
      </c>
      <c r="AD23" s="18">
        <f>IF(V23=1,IF(AL23&lt;=0,99,COUNTIF(SECC,"&lt;"&amp;INDEX(SIS_K2,W23)*$F$10*H23*AA23*G23/AL23-0.000001)+1),1)</f>
        <v/>
      </c>
      <c r="AE23" s="18">
        <f>IFERROR(MATCH(N(K23),SECC,0),2)</f>
        <v/>
      </c>
      <c r="AF23" s="18">
        <f>MAX(AC23,AD23,AE23)</f>
        <v/>
      </c>
      <c r="AG23" s="18">
        <f>IF(AF23&lt;=COUNT(INDEX(TABLA2,0,Y23)),1,0)</f>
        <v/>
      </c>
      <c r="AH23" s="18">
        <f>IF(OR(ISBLANK(L23),ISNUMBER(L23)),1,0)</f>
        <v/>
      </c>
      <c r="AI23" s="51">
        <f>MIN(AJ23,$F$11-N(L23))</f>
        <v/>
      </c>
      <c r="AJ23" s="51">
        <f>IF(V23=1,INDEX(TRAMO_LIM,MATCH(D23,TRAMO_NOM,0)),2.5)</f>
        <v/>
      </c>
      <c r="AK23" s="54">
        <f>SQRT(MAX(0,1-N(G23)^2))</f>
        <v/>
      </c>
      <c r="AL23" s="54">
        <f>AI23/100*INDEX(SIS_V,W23)-INDEX(SIS_K2,W23)*N(H23)*AA23*$F$13/1000*AK23</f>
        <v/>
      </c>
    </row>
    <row r="24" ht="24" customHeight="1">
      <c r="B24" s="46" t="n">
        <v>10</v>
      </c>
      <c r="C24" s="57" t="n"/>
      <c r="D24" s="57" t="n"/>
      <c r="E24" s="57" t="n"/>
      <c r="F24" s="61" t="n"/>
      <c r="G24" s="29" t="n"/>
      <c r="H24" s="52" t="n"/>
      <c r="I24" s="56" t="n"/>
      <c r="J24" s="53" t="n"/>
      <c r="K24" s="52" t="n"/>
      <c r="L24" s="29" t="n"/>
      <c r="M24" s="47">
        <f>IF(V24=1,AA24,"")</f>
        <v/>
      </c>
      <c r="N24" s="36">
        <f>IF(V24=1,AB24,"")</f>
        <v/>
      </c>
      <c r="O24" s="35">
        <f>IF(V24=1,IF(AG24=1,INDEX(SECC,AF24),"Insuficiente"),"")</f>
        <v/>
      </c>
      <c r="P24" s="34">
        <f>IF(AND(V24=1,AG24=1),INDEX(TABLA2,AF24,Y24)*Z24,"")</f>
        <v/>
      </c>
      <c r="Q24" s="47">
        <f>IF(AND(V24=1,AG24=1),100*INDEX(SIS_K2,W24)*H24*AA24*($F$10*G24/O24+$F$13/1000*AK24)/INDEX(SIS_V,W24),"")</f>
        <v/>
      </c>
      <c r="R24" s="43">
        <f>IF(AND(V24=1,AG24=1),N(L24)+Q24,"")</f>
        <v/>
      </c>
      <c r="S24" s="68">
        <f>IF(V24=0,"",IF(AG24=0,"Insuficiente",IF(AND(AD24&gt;AC24,AD24&gt;=AE24),"Caída",IF(AC24&gt;=AE24,"Capacidad","S mínima"))))</f>
        <v/>
      </c>
      <c r="T24" s="42">
        <f>IF(C24="","",IF(V24=0,"REVISAR datos",IF(AH24=0,"REVISAR ΔV previo",IF(AG24=0,"NO CUMPLE",IF(AB24&lt;1.25*AA24-0.000001,"NO CUMPLE (ITM)",IF(AND(Q24&lt;=AJ24+0.000001,R24&lt;=$F$11+0.000001),"CUMPLE","NO CUMPLE"))))))</f>
        <v/>
      </c>
      <c r="V24" s="18">
        <f>IF(AND(C24&lt;&gt;"",D24&lt;&gt;"",E24&lt;&gt;"",N(F24)&gt;0,N(G24)&gt;0,N(H24)&gt;0,I24&lt;&gt;""),1,0)</f>
        <v/>
      </c>
      <c r="W24" s="18">
        <f>IF(V24=1,MATCH(E24,SIS_NOM,0),1)</f>
        <v/>
      </c>
      <c r="X24" s="18">
        <f>IF(V24=1,MATCH(I24,MET_COD,0),3)</f>
        <v/>
      </c>
      <c r="Y24" s="18">
        <f>(X24-1)*2+IF(INDEX(SIS_CARG,W24)=3,2,1)</f>
        <v/>
      </c>
      <c r="Z24" s="54">
        <f>IF(I24="D",INDEX(FT_TER,MATCH($F$9,FT_T,0)),INDEX(FT_AIR,MATCH($F$9,FT_T,0)))*INDEX(FA_F,MIN(COUNT(FA_N),COUNTIF(FA_N,"&lt;"&amp;MAX(1,N(J24)))+1))</f>
        <v/>
      </c>
      <c r="AA24" s="51">
        <f>IF(V24=1,F24/(INDEX(SIS_K,W24)*INDEX(SIS_V,W24)*G24),0)</f>
        <v/>
      </c>
      <c r="AB24" s="18">
        <f>INDEX(ITM,MIN(COUNT(ITM),COUNTIF(ITM,"&lt;"&amp;MAX(1.25*AA24,IF(D24="Circuito derivado",N($F$12),0))-0.000001)+1))</f>
        <v/>
      </c>
      <c r="AC24" s="18">
        <f>COUNTIF(INDEX(TABLA2,0,Y24),"&lt;"&amp;MAX(AB24,1.25*AA24)/Z24-0.000001)+1</f>
        <v/>
      </c>
      <c r="AD24" s="18">
        <f>IF(V24=1,IF(AL24&lt;=0,99,COUNTIF(SECC,"&lt;"&amp;INDEX(SIS_K2,W24)*$F$10*H24*AA24*G24/AL24-0.000001)+1),1)</f>
        <v/>
      </c>
      <c r="AE24" s="18">
        <f>IFERROR(MATCH(N(K24),SECC,0),2)</f>
        <v/>
      </c>
      <c r="AF24" s="18">
        <f>MAX(AC24,AD24,AE24)</f>
        <v/>
      </c>
      <c r="AG24" s="18">
        <f>IF(AF24&lt;=COUNT(INDEX(TABLA2,0,Y24)),1,0)</f>
        <v/>
      </c>
      <c r="AH24" s="18">
        <f>IF(OR(ISBLANK(L24),ISNUMBER(L24)),1,0)</f>
        <v/>
      </c>
      <c r="AI24" s="51">
        <f>MIN(AJ24,$F$11-N(L24))</f>
        <v/>
      </c>
      <c r="AJ24" s="51">
        <f>IF(V24=1,INDEX(TRAMO_LIM,MATCH(D24,TRAMO_NOM,0)),2.5)</f>
        <v/>
      </c>
      <c r="AK24" s="54">
        <f>SQRT(MAX(0,1-N(G24)^2))</f>
        <v/>
      </c>
      <c r="AL24" s="54">
        <f>AI24/100*INDEX(SIS_V,W24)-INDEX(SIS_K2,W24)*N(H24)*AA24*$F$13/1000*AK24</f>
        <v/>
      </c>
    </row>
    <row r="25" ht="24" customHeight="1">
      <c r="B25" s="46" t="n">
        <v>11</v>
      </c>
      <c r="C25" s="57" t="n"/>
      <c r="D25" s="57" t="n"/>
      <c r="E25" s="57" t="n"/>
      <c r="F25" s="61" t="n"/>
      <c r="G25" s="29" t="n"/>
      <c r="H25" s="52" t="n"/>
      <c r="I25" s="56" t="n"/>
      <c r="J25" s="53" t="n"/>
      <c r="K25" s="52" t="n"/>
      <c r="L25" s="29" t="n"/>
      <c r="M25" s="47">
        <f>IF(V25=1,AA25,"")</f>
        <v/>
      </c>
      <c r="N25" s="36">
        <f>IF(V25=1,AB25,"")</f>
        <v/>
      </c>
      <c r="O25" s="35">
        <f>IF(V25=1,IF(AG25=1,INDEX(SECC,AF25),"Insuficiente"),"")</f>
        <v/>
      </c>
      <c r="P25" s="34">
        <f>IF(AND(V25=1,AG25=1),INDEX(TABLA2,AF25,Y25)*Z25,"")</f>
        <v/>
      </c>
      <c r="Q25" s="47">
        <f>IF(AND(V25=1,AG25=1),100*INDEX(SIS_K2,W25)*H25*AA25*($F$10*G25/O25+$F$13/1000*AK25)/INDEX(SIS_V,W25),"")</f>
        <v/>
      </c>
      <c r="R25" s="43">
        <f>IF(AND(V25=1,AG25=1),N(L25)+Q25,"")</f>
        <v/>
      </c>
      <c r="S25" s="68">
        <f>IF(V25=0,"",IF(AG25=0,"Insuficiente",IF(AND(AD25&gt;AC25,AD25&gt;=AE25),"Caída",IF(AC25&gt;=AE25,"Capacidad","S mínima"))))</f>
        <v/>
      </c>
      <c r="T25" s="42">
        <f>IF(C25="","",IF(V25=0,"REVISAR datos",IF(AH25=0,"REVISAR ΔV previo",IF(AG25=0,"NO CUMPLE",IF(AB25&lt;1.25*AA25-0.000001,"NO CUMPLE (ITM)",IF(AND(Q25&lt;=AJ25+0.000001,R25&lt;=$F$11+0.000001),"CUMPLE","NO CUMPLE"))))))</f>
        <v/>
      </c>
      <c r="V25" s="18">
        <f>IF(AND(C25&lt;&gt;"",D25&lt;&gt;"",E25&lt;&gt;"",N(F25)&gt;0,N(G25)&gt;0,N(H25)&gt;0,I25&lt;&gt;""),1,0)</f>
        <v/>
      </c>
      <c r="W25" s="18">
        <f>IF(V25=1,MATCH(E25,SIS_NOM,0),1)</f>
        <v/>
      </c>
      <c r="X25" s="18">
        <f>IF(V25=1,MATCH(I25,MET_COD,0),3)</f>
        <v/>
      </c>
      <c r="Y25" s="18">
        <f>(X25-1)*2+IF(INDEX(SIS_CARG,W25)=3,2,1)</f>
        <v/>
      </c>
      <c r="Z25" s="54">
        <f>IF(I25="D",INDEX(FT_TER,MATCH($F$9,FT_T,0)),INDEX(FT_AIR,MATCH($F$9,FT_T,0)))*INDEX(FA_F,MIN(COUNT(FA_N),COUNTIF(FA_N,"&lt;"&amp;MAX(1,N(J25)))+1))</f>
        <v/>
      </c>
      <c r="AA25" s="51">
        <f>IF(V25=1,F25/(INDEX(SIS_K,W25)*INDEX(SIS_V,W25)*G25),0)</f>
        <v/>
      </c>
      <c r="AB25" s="18">
        <f>INDEX(ITM,MIN(COUNT(ITM),COUNTIF(ITM,"&lt;"&amp;MAX(1.25*AA25,IF(D25="Circuito derivado",N($F$12),0))-0.000001)+1))</f>
        <v/>
      </c>
      <c r="AC25" s="18">
        <f>COUNTIF(INDEX(TABLA2,0,Y25),"&lt;"&amp;MAX(AB25,1.25*AA25)/Z25-0.000001)+1</f>
        <v/>
      </c>
      <c r="AD25" s="18">
        <f>IF(V25=1,IF(AL25&lt;=0,99,COUNTIF(SECC,"&lt;"&amp;INDEX(SIS_K2,W25)*$F$10*H25*AA25*G25/AL25-0.000001)+1),1)</f>
        <v/>
      </c>
      <c r="AE25" s="18">
        <f>IFERROR(MATCH(N(K25),SECC,0),2)</f>
        <v/>
      </c>
      <c r="AF25" s="18">
        <f>MAX(AC25,AD25,AE25)</f>
        <v/>
      </c>
      <c r="AG25" s="18">
        <f>IF(AF25&lt;=COUNT(INDEX(TABLA2,0,Y25)),1,0)</f>
        <v/>
      </c>
      <c r="AH25" s="18">
        <f>IF(OR(ISBLANK(L25),ISNUMBER(L25)),1,0)</f>
        <v/>
      </c>
      <c r="AI25" s="51">
        <f>MIN(AJ25,$F$11-N(L25))</f>
        <v/>
      </c>
      <c r="AJ25" s="51">
        <f>IF(V25=1,INDEX(TRAMO_LIM,MATCH(D25,TRAMO_NOM,0)),2.5)</f>
        <v/>
      </c>
      <c r="AK25" s="54">
        <f>SQRT(MAX(0,1-N(G25)^2))</f>
        <v/>
      </c>
      <c r="AL25" s="54">
        <f>AI25/100*INDEX(SIS_V,W25)-INDEX(SIS_K2,W25)*N(H25)*AA25*$F$13/1000*AK25</f>
        <v/>
      </c>
    </row>
    <row r="26" ht="24" customHeight="1">
      <c r="B26" s="46" t="n">
        <v>12</v>
      </c>
      <c r="C26" s="57" t="n"/>
      <c r="D26" s="57" t="n"/>
      <c r="E26" s="57" t="n"/>
      <c r="F26" s="61" t="n"/>
      <c r="G26" s="29" t="n"/>
      <c r="H26" s="52" t="n"/>
      <c r="I26" s="56" t="n"/>
      <c r="J26" s="53" t="n"/>
      <c r="K26" s="52" t="n"/>
      <c r="L26" s="29" t="n"/>
      <c r="M26" s="47">
        <f>IF(V26=1,AA26,"")</f>
        <v/>
      </c>
      <c r="N26" s="36">
        <f>IF(V26=1,AB26,"")</f>
        <v/>
      </c>
      <c r="O26" s="35">
        <f>IF(V26=1,IF(AG26=1,INDEX(SECC,AF26),"Insuficiente"),"")</f>
        <v/>
      </c>
      <c r="P26" s="34">
        <f>IF(AND(V26=1,AG26=1),INDEX(TABLA2,AF26,Y26)*Z26,"")</f>
        <v/>
      </c>
      <c r="Q26" s="47">
        <f>IF(AND(V26=1,AG26=1),100*INDEX(SIS_K2,W26)*H26*AA26*($F$10*G26/O26+$F$13/1000*AK26)/INDEX(SIS_V,W26),"")</f>
        <v/>
      </c>
      <c r="R26" s="43">
        <f>IF(AND(V26=1,AG26=1),N(L26)+Q26,"")</f>
        <v/>
      </c>
      <c r="S26" s="68">
        <f>IF(V26=0,"",IF(AG26=0,"Insuficiente",IF(AND(AD26&gt;AC26,AD26&gt;=AE26),"Caída",IF(AC26&gt;=AE26,"Capacidad","S mínima"))))</f>
        <v/>
      </c>
      <c r="T26" s="42">
        <f>IF(C26="","",IF(V26=0,"REVISAR datos",IF(AH26=0,"REVISAR ΔV previo",IF(AG26=0,"NO CUMPLE",IF(AB26&lt;1.25*AA26-0.000001,"NO CUMPLE (ITM)",IF(AND(Q26&lt;=AJ26+0.000001,R26&lt;=$F$11+0.000001),"CUMPLE","NO CUMPLE"))))))</f>
        <v/>
      </c>
      <c r="V26" s="18">
        <f>IF(AND(C26&lt;&gt;"",D26&lt;&gt;"",E26&lt;&gt;"",N(F26)&gt;0,N(G26)&gt;0,N(H26)&gt;0,I26&lt;&gt;""),1,0)</f>
        <v/>
      </c>
      <c r="W26" s="18">
        <f>IF(V26=1,MATCH(E26,SIS_NOM,0),1)</f>
        <v/>
      </c>
      <c r="X26" s="18">
        <f>IF(V26=1,MATCH(I26,MET_COD,0),3)</f>
        <v/>
      </c>
      <c r="Y26" s="18">
        <f>(X26-1)*2+IF(INDEX(SIS_CARG,W26)=3,2,1)</f>
        <v/>
      </c>
      <c r="Z26" s="54">
        <f>IF(I26="D",INDEX(FT_TER,MATCH($F$9,FT_T,0)),INDEX(FT_AIR,MATCH($F$9,FT_T,0)))*INDEX(FA_F,MIN(COUNT(FA_N),COUNTIF(FA_N,"&lt;"&amp;MAX(1,N(J26)))+1))</f>
        <v/>
      </c>
      <c r="AA26" s="51">
        <f>IF(V26=1,F26/(INDEX(SIS_K,W26)*INDEX(SIS_V,W26)*G26),0)</f>
        <v/>
      </c>
      <c r="AB26" s="18">
        <f>INDEX(ITM,MIN(COUNT(ITM),COUNTIF(ITM,"&lt;"&amp;MAX(1.25*AA26,IF(D26="Circuito derivado",N($F$12),0))-0.000001)+1))</f>
        <v/>
      </c>
      <c r="AC26" s="18">
        <f>COUNTIF(INDEX(TABLA2,0,Y26),"&lt;"&amp;MAX(AB26,1.25*AA26)/Z26-0.000001)+1</f>
        <v/>
      </c>
      <c r="AD26" s="18">
        <f>IF(V26=1,IF(AL26&lt;=0,99,COUNTIF(SECC,"&lt;"&amp;INDEX(SIS_K2,W26)*$F$10*H26*AA26*G26/AL26-0.000001)+1),1)</f>
        <v/>
      </c>
      <c r="AE26" s="18">
        <f>IFERROR(MATCH(N(K26),SECC,0),2)</f>
        <v/>
      </c>
      <c r="AF26" s="18">
        <f>MAX(AC26,AD26,AE26)</f>
        <v/>
      </c>
      <c r="AG26" s="18">
        <f>IF(AF26&lt;=COUNT(INDEX(TABLA2,0,Y26)),1,0)</f>
        <v/>
      </c>
      <c r="AH26" s="18">
        <f>IF(OR(ISBLANK(L26),ISNUMBER(L26)),1,0)</f>
        <v/>
      </c>
      <c r="AI26" s="51">
        <f>MIN(AJ26,$F$11-N(L26))</f>
        <v/>
      </c>
      <c r="AJ26" s="51">
        <f>IF(V26=1,INDEX(TRAMO_LIM,MATCH(D26,TRAMO_NOM,0)),2.5)</f>
        <v/>
      </c>
      <c r="AK26" s="54">
        <f>SQRT(MAX(0,1-N(G26)^2))</f>
        <v/>
      </c>
      <c r="AL26" s="54">
        <f>AI26/100*INDEX(SIS_V,W26)-INDEX(SIS_K2,W26)*N(H26)*AA26*$F$13/1000*AK26</f>
        <v/>
      </c>
    </row>
    <row r="27" ht="24" customHeight="1">
      <c r="B27" s="46" t="n">
        <v>13</v>
      </c>
      <c r="C27" s="57" t="n"/>
      <c r="D27" s="57" t="n"/>
      <c r="E27" s="57" t="n"/>
      <c r="F27" s="61" t="n"/>
      <c r="G27" s="29" t="n"/>
      <c r="H27" s="52" t="n"/>
      <c r="I27" s="56" t="n"/>
      <c r="J27" s="53" t="n"/>
      <c r="K27" s="52" t="n"/>
      <c r="L27" s="29" t="n"/>
      <c r="M27" s="47">
        <f>IF(V27=1,AA27,"")</f>
        <v/>
      </c>
      <c r="N27" s="36">
        <f>IF(V27=1,AB27,"")</f>
        <v/>
      </c>
      <c r="O27" s="35">
        <f>IF(V27=1,IF(AG27=1,INDEX(SECC,AF27),"Insuficiente"),"")</f>
        <v/>
      </c>
      <c r="P27" s="34">
        <f>IF(AND(V27=1,AG27=1),INDEX(TABLA2,AF27,Y27)*Z27,"")</f>
        <v/>
      </c>
      <c r="Q27" s="47">
        <f>IF(AND(V27=1,AG27=1),100*INDEX(SIS_K2,W27)*H27*AA27*($F$10*G27/O27+$F$13/1000*AK27)/INDEX(SIS_V,W27),"")</f>
        <v/>
      </c>
      <c r="R27" s="43">
        <f>IF(AND(V27=1,AG27=1),N(L27)+Q27,"")</f>
        <v/>
      </c>
      <c r="S27" s="68">
        <f>IF(V27=0,"",IF(AG27=0,"Insuficiente",IF(AND(AD27&gt;AC27,AD27&gt;=AE27),"Caída",IF(AC27&gt;=AE27,"Capacidad","S mínima"))))</f>
        <v/>
      </c>
      <c r="T27" s="42">
        <f>IF(C27="","",IF(V27=0,"REVISAR datos",IF(AH27=0,"REVISAR ΔV previo",IF(AG27=0,"NO CUMPLE",IF(AB27&lt;1.25*AA27-0.000001,"NO CUMPLE (ITM)",IF(AND(Q27&lt;=AJ27+0.000001,R27&lt;=$F$11+0.000001),"CUMPLE","NO CUMPLE"))))))</f>
        <v/>
      </c>
      <c r="V27" s="18">
        <f>IF(AND(C27&lt;&gt;"",D27&lt;&gt;"",E27&lt;&gt;"",N(F27)&gt;0,N(G27)&gt;0,N(H27)&gt;0,I27&lt;&gt;""),1,0)</f>
        <v/>
      </c>
      <c r="W27" s="18">
        <f>IF(V27=1,MATCH(E27,SIS_NOM,0),1)</f>
        <v/>
      </c>
      <c r="X27" s="18">
        <f>IF(V27=1,MATCH(I27,MET_COD,0),3)</f>
        <v/>
      </c>
      <c r="Y27" s="18">
        <f>(X27-1)*2+IF(INDEX(SIS_CARG,W27)=3,2,1)</f>
        <v/>
      </c>
      <c r="Z27" s="54">
        <f>IF(I27="D",INDEX(FT_TER,MATCH($F$9,FT_T,0)),INDEX(FT_AIR,MATCH($F$9,FT_T,0)))*INDEX(FA_F,MIN(COUNT(FA_N),COUNTIF(FA_N,"&lt;"&amp;MAX(1,N(J27)))+1))</f>
        <v/>
      </c>
      <c r="AA27" s="51">
        <f>IF(V27=1,F27/(INDEX(SIS_K,W27)*INDEX(SIS_V,W27)*G27),0)</f>
        <v/>
      </c>
      <c r="AB27" s="18">
        <f>INDEX(ITM,MIN(COUNT(ITM),COUNTIF(ITM,"&lt;"&amp;MAX(1.25*AA27,IF(D27="Circuito derivado",N($F$12),0))-0.000001)+1))</f>
        <v/>
      </c>
      <c r="AC27" s="18">
        <f>COUNTIF(INDEX(TABLA2,0,Y27),"&lt;"&amp;MAX(AB27,1.25*AA27)/Z27-0.000001)+1</f>
        <v/>
      </c>
      <c r="AD27" s="18">
        <f>IF(V27=1,IF(AL27&lt;=0,99,COUNTIF(SECC,"&lt;"&amp;INDEX(SIS_K2,W27)*$F$10*H27*AA27*G27/AL27-0.000001)+1),1)</f>
        <v/>
      </c>
      <c r="AE27" s="18">
        <f>IFERROR(MATCH(N(K27),SECC,0),2)</f>
        <v/>
      </c>
      <c r="AF27" s="18">
        <f>MAX(AC27,AD27,AE27)</f>
        <v/>
      </c>
      <c r="AG27" s="18">
        <f>IF(AF27&lt;=COUNT(INDEX(TABLA2,0,Y27)),1,0)</f>
        <v/>
      </c>
      <c r="AH27" s="18">
        <f>IF(OR(ISBLANK(L27),ISNUMBER(L27)),1,0)</f>
        <v/>
      </c>
      <c r="AI27" s="51">
        <f>MIN(AJ27,$F$11-N(L27))</f>
        <v/>
      </c>
      <c r="AJ27" s="51">
        <f>IF(V27=1,INDEX(TRAMO_LIM,MATCH(D27,TRAMO_NOM,0)),2.5)</f>
        <v/>
      </c>
      <c r="AK27" s="54">
        <f>SQRT(MAX(0,1-N(G27)^2))</f>
        <v/>
      </c>
      <c r="AL27" s="54">
        <f>AI27/100*INDEX(SIS_V,W27)-INDEX(SIS_K2,W27)*N(H27)*AA27*$F$13/1000*AK27</f>
        <v/>
      </c>
    </row>
    <row r="28" ht="24" customHeight="1">
      <c r="B28" s="46" t="n">
        <v>14</v>
      </c>
      <c r="C28" s="57" t="n"/>
      <c r="D28" s="57" t="n"/>
      <c r="E28" s="57" t="n"/>
      <c r="F28" s="61" t="n"/>
      <c r="G28" s="29" t="n"/>
      <c r="H28" s="52" t="n"/>
      <c r="I28" s="56" t="n"/>
      <c r="J28" s="53" t="n"/>
      <c r="K28" s="52" t="n"/>
      <c r="L28" s="29" t="n"/>
      <c r="M28" s="47">
        <f>IF(V28=1,AA28,"")</f>
        <v/>
      </c>
      <c r="N28" s="36">
        <f>IF(V28=1,AB28,"")</f>
        <v/>
      </c>
      <c r="O28" s="35">
        <f>IF(V28=1,IF(AG28=1,INDEX(SECC,AF28),"Insuficiente"),"")</f>
        <v/>
      </c>
      <c r="P28" s="34">
        <f>IF(AND(V28=1,AG28=1),INDEX(TABLA2,AF28,Y28)*Z28,"")</f>
        <v/>
      </c>
      <c r="Q28" s="47">
        <f>IF(AND(V28=1,AG28=1),100*INDEX(SIS_K2,W28)*H28*AA28*($F$10*G28/O28+$F$13/1000*AK28)/INDEX(SIS_V,W28),"")</f>
        <v/>
      </c>
      <c r="R28" s="43">
        <f>IF(AND(V28=1,AG28=1),N(L28)+Q28,"")</f>
        <v/>
      </c>
      <c r="S28" s="68">
        <f>IF(V28=0,"",IF(AG28=0,"Insuficiente",IF(AND(AD28&gt;AC28,AD28&gt;=AE28),"Caída",IF(AC28&gt;=AE28,"Capacidad","S mínima"))))</f>
        <v/>
      </c>
      <c r="T28" s="42">
        <f>IF(C28="","",IF(V28=0,"REVISAR datos",IF(AH28=0,"REVISAR ΔV previo",IF(AG28=0,"NO CUMPLE",IF(AB28&lt;1.25*AA28-0.000001,"NO CUMPLE (ITM)",IF(AND(Q28&lt;=AJ28+0.000001,R28&lt;=$F$11+0.000001),"CUMPLE","NO CUMPLE"))))))</f>
        <v/>
      </c>
      <c r="V28" s="18">
        <f>IF(AND(C28&lt;&gt;"",D28&lt;&gt;"",E28&lt;&gt;"",N(F28)&gt;0,N(G28)&gt;0,N(H28)&gt;0,I28&lt;&gt;""),1,0)</f>
        <v/>
      </c>
      <c r="W28" s="18">
        <f>IF(V28=1,MATCH(E28,SIS_NOM,0),1)</f>
        <v/>
      </c>
      <c r="X28" s="18">
        <f>IF(V28=1,MATCH(I28,MET_COD,0),3)</f>
        <v/>
      </c>
      <c r="Y28" s="18">
        <f>(X28-1)*2+IF(INDEX(SIS_CARG,W28)=3,2,1)</f>
        <v/>
      </c>
      <c r="Z28" s="54">
        <f>IF(I28="D",INDEX(FT_TER,MATCH($F$9,FT_T,0)),INDEX(FT_AIR,MATCH($F$9,FT_T,0)))*INDEX(FA_F,MIN(COUNT(FA_N),COUNTIF(FA_N,"&lt;"&amp;MAX(1,N(J28)))+1))</f>
        <v/>
      </c>
      <c r="AA28" s="51">
        <f>IF(V28=1,F28/(INDEX(SIS_K,W28)*INDEX(SIS_V,W28)*G28),0)</f>
        <v/>
      </c>
      <c r="AB28" s="18">
        <f>INDEX(ITM,MIN(COUNT(ITM),COUNTIF(ITM,"&lt;"&amp;MAX(1.25*AA28,IF(D28="Circuito derivado",N($F$12),0))-0.000001)+1))</f>
        <v/>
      </c>
      <c r="AC28" s="18">
        <f>COUNTIF(INDEX(TABLA2,0,Y28),"&lt;"&amp;MAX(AB28,1.25*AA28)/Z28-0.000001)+1</f>
        <v/>
      </c>
      <c r="AD28" s="18">
        <f>IF(V28=1,IF(AL28&lt;=0,99,COUNTIF(SECC,"&lt;"&amp;INDEX(SIS_K2,W28)*$F$10*H28*AA28*G28/AL28-0.000001)+1),1)</f>
        <v/>
      </c>
      <c r="AE28" s="18">
        <f>IFERROR(MATCH(N(K28),SECC,0),2)</f>
        <v/>
      </c>
      <c r="AF28" s="18">
        <f>MAX(AC28,AD28,AE28)</f>
        <v/>
      </c>
      <c r="AG28" s="18">
        <f>IF(AF28&lt;=COUNT(INDEX(TABLA2,0,Y28)),1,0)</f>
        <v/>
      </c>
      <c r="AH28" s="18">
        <f>IF(OR(ISBLANK(L28),ISNUMBER(L28)),1,0)</f>
        <v/>
      </c>
      <c r="AI28" s="51">
        <f>MIN(AJ28,$F$11-N(L28))</f>
        <v/>
      </c>
      <c r="AJ28" s="51">
        <f>IF(V28=1,INDEX(TRAMO_LIM,MATCH(D28,TRAMO_NOM,0)),2.5)</f>
        <v/>
      </c>
      <c r="AK28" s="54">
        <f>SQRT(MAX(0,1-N(G28)^2))</f>
        <v/>
      </c>
      <c r="AL28" s="54">
        <f>AI28/100*INDEX(SIS_V,W28)-INDEX(SIS_K2,W28)*N(H28)*AA28*$F$13/1000*AK28</f>
        <v/>
      </c>
    </row>
    <row r="29" ht="24" customHeight="1">
      <c r="B29" s="46" t="n">
        <v>15</v>
      </c>
      <c r="C29" s="57" t="n"/>
      <c r="D29" s="57" t="n"/>
      <c r="E29" s="57" t="n"/>
      <c r="F29" s="61" t="n"/>
      <c r="G29" s="29" t="n"/>
      <c r="H29" s="52" t="n"/>
      <c r="I29" s="56" t="n"/>
      <c r="J29" s="53" t="n"/>
      <c r="K29" s="52" t="n"/>
      <c r="L29" s="29" t="n"/>
      <c r="M29" s="47">
        <f>IF(V29=1,AA29,"")</f>
        <v/>
      </c>
      <c r="N29" s="36">
        <f>IF(V29=1,AB29,"")</f>
        <v/>
      </c>
      <c r="O29" s="35">
        <f>IF(V29=1,IF(AG29=1,INDEX(SECC,AF29),"Insuficiente"),"")</f>
        <v/>
      </c>
      <c r="P29" s="34">
        <f>IF(AND(V29=1,AG29=1),INDEX(TABLA2,AF29,Y29)*Z29,"")</f>
        <v/>
      </c>
      <c r="Q29" s="47">
        <f>IF(AND(V29=1,AG29=1),100*INDEX(SIS_K2,W29)*H29*AA29*($F$10*G29/O29+$F$13/1000*AK29)/INDEX(SIS_V,W29),"")</f>
        <v/>
      </c>
      <c r="R29" s="43">
        <f>IF(AND(V29=1,AG29=1),N(L29)+Q29,"")</f>
        <v/>
      </c>
      <c r="S29" s="68">
        <f>IF(V29=0,"",IF(AG29=0,"Insuficiente",IF(AND(AD29&gt;AC29,AD29&gt;=AE29),"Caída",IF(AC29&gt;=AE29,"Capacidad","S mínima"))))</f>
        <v/>
      </c>
      <c r="T29" s="42">
        <f>IF(C29="","",IF(V29=0,"REVISAR datos",IF(AH29=0,"REVISAR ΔV previo",IF(AG29=0,"NO CUMPLE",IF(AB29&lt;1.25*AA29-0.000001,"NO CUMPLE (ITM)",IF(AND(Q29&lt;=AJ29+0.000001,R29&lt;=$F$11+0.000001),"CUMPLE","NO CUMPLE"))))))</f>
        <v/>
      </c>
      <c r="V29" s="18">
        <f>IF(AND(C29&lt;&gt;"",D29&lt;&gt;"",E29&lt;&gt;"",N(F29)&gt;0,N(G29)&gt;0,N(H29)&gt;0,I29&lt;&gt;""),1,0)</f>
        <v/>
      </c>
      <c r="W29" s="18">
        <f>IF(V29=1,MATCH(E29,SIS_NOM,0),1)</f>
        <v/>
      </c>
      <c r="X29" s="18">
        <f>IF(V29=1,MATCH(I29,MET_COD,0),3)</f>
        <v/>
      </c>
      <c r="Y29" s="18">
        <f>(X29-1)*2+IF(INDEX(SIS_CARG,W29)=3,2,1)</f>
        <v/>
      </c>
      <c r="Z29" s="54">
        <f>IF(I29="D",INDEX(FT_TER,MATCH($F$9,FT_T,0)),INDEX(FT_AIR,MATCH($F$9,FT_T,0)))*INDEX(FA_F,MIN(COUNT(FA_N),COUNTIF(FA_N,"&lt;"&amp;MAX(1,N(J29)))+1))</f>
        <v/>
      </c>
      <c r="AA29" s="51">
        <f>IF(V29=1,F29/(INDEX(SIS_K,W29)*INDEX(SIS_V,W29)*G29),0)</f>
        <v/>
      </c>
      <c r="AB29" s="18">
        <f>INDEX(ITM,MIN(COUNT(ITM),COUNTIF(ITM,"&lt;"&amp;MAX(1.25*AA29,IF(D29="Circuito derivado",N($F$12),0))-0.000001)+1))</f>
        <v/>
      </c>
      <c r="AC29" s="18">
        <f>COUNTIF(INDEX(TABLA2,0,Y29),"&lt;"&amp;MAX(AB29,1.25*AA29)/Z29-0.000001)+1</f>
        <v/>
      </c>
      <c r="AD29" s="18">
        <f>IF(V29=1,IF(AL29&lt;=0,99,COUNTIF(SECC,"&lt;"&amp;INDEX(SIS_K2,W29)*$F$10*H29*AA29*G29/AL29-0.000001)+1),1)</f>
        <v/>
      </c>
      <c r="AE29" s="18">
        <f>IFERROR(MATCH(N(K29),SECC,0),2)</f>
        <v/>
      </c>
      <c r="AF29" s="18">
        <f>MAX(AC29,AD29,AE29)</f>
        <v/>
      </c>
      <c r="AG29" s="18">
        <f>IF(AF29&lt;=COUNT(INDEX(TABLA2,0,Y29)),1,0)</f>
        <v/>
      </c>
      <c r="AH29" s="18">
        <f>IF(OR(ISBLANK(L29),ISNUMBER(L29)),1,0)</f>
        <v/>
      </c>
      <c r="AI29" s="51">
        <f>MIN(AJ29,$F$11-N(L29))</f>
        <v/>
      </c>
      <c r="AJ29" s="51">
        <f>IF(V29=1,INDEX(TRAMO_LIM,MATCH(D29,TRAMO_NOM,0)),2.5)</f>
        <v/>
      </c>
      <c r="AK29" s="54">
        <f>SQRT(MAX(0,1-N(G29)^2))</f>
        <v/>
      </c>
      <c r="AL29" s="54">
        <f>AI29/100*INDEX(SIS_V,W29)-INDEX(SIS_K2,W29)*N(H29)*AA29*$F$13/1000*AK29</f>
        <v/>
      </c>
    </row>
    <row r="30" ht="24" customHeight="1">
      <c r="B30" s="46" t="n">
        <v>16</v>
      </c>
      <c r="C30" s="57" t="n"/>
      <c r="D30" s="57" t="n"/>
      <c r="E30" s="57" t="n"/>
      <c r="F30" s="61" t="n"/>
      <c r="G30" s="29" t="n"/>
      <c r="H30" s="52" t="n"/>
      <c r="I30" s="56" t="n"/>
      <c r="J30" s="53" t="n"/>
      <c r="K30" s="52" t="n"/>
      <c r="L30" s="29" t="n"/>
      <c r="M30" s="47">
        <f>IF(V30=1,AA30,"")</f>
        <v/>
      </c>
      <c r="N30" s="36">
        <f>IF(V30=1,AB30,"")</f>
        <v/>
      </c>
      <c r="O30" s="35">
        <f>IF(V30=1,IF(AG30=1,INDEX(SECC,AF30),"Insuficiente"),"")</f>
        <v/>
      </c>
      <c r="P30" s="34">
        <f>IF(AND(V30=1,AG30=1),INDEX(TABLA2,AF30,Y30)*Z30,"")</f>
        <v/>
      </c>
      <c r="Q30" s="47">
        <f>IF(AND(V30=1,AG30=1),100*INDEX(SIS_K2,W30)*H30*AA30*($F$10*G30/O30+$F$13/1000*AK30)/INDEX(SIS_V,W30),"")</f>
        <v/>
      </c>
      <c r="R30" s="43">
        <f>IF(AND(V30=1,AG30=1),N(L30)+Q30,"")</f>
        <v/>
      </c>
      <c r="S30" s="68">
        <f>IF(V30=0,"",IF(AG30=0,"Insuficiente",IF(AND(AD30&gt;AC30,AD30&gt;=AE30),"Caída",IF(AC30&gt;=AE30,"Capacidad","S mínima"))))</f>
        <v/>
      </c>
      <c r="T30" s="42">
        <f>IF(C30="","",IF(V30=0,"REVISAR datos",IF(AH30=0,"REVISAR ΔV previo",IF(AG30=0,"NO CUMPLE",IF(AB30&lt;1.25*AA30-0.000001,"NO CUMPLE (ITM)",IF(AND(Q30&lt;=AJ30+0.000001,R30&lt;=$F$11+0.000001),"CUMPLE","NO CUMPLE"))))))</f>
        <v/>
      </c>
      <c r="V30" s="18">
        <f>IF(AND(C30&lt;&gt;"",D30&lt;&gt;"",E30&lt;&gt;"",N(F30)&gt;0,N(G30)&gt;0,N(H30)&gt;0,I30&lt;&gt;""),1,0)</f>
        <v/>
      </c>
      <c r="W30" s="18">
        <f>IF(V30=1,MATCH(E30,SIS_NOM,0),1)</f>
        <v/>
      </c>
      <c r="X30" s="18">
        <f>IF(V30=1,MATCH(I30,MET_COD,0),3)</f>
        <v/>
      </c>
      <c r="Y30" s="18">
        <f>(X30-1)*2+IF(INDEX(SIS_CARG,W30)=3,2,1)</f>
        <v/>
      </c>
      <c r="Z30" s="54">
        <f>IF(I30="D",INDEX(FT_TER,MATCH($F$9,FT_T,0)),INDEX(FT_AIR,MATCH($F$9,FT_T,0)))*INDEX(FA_F,MIN(COUNT(FA_N),COUNTIF(FA_N,"&lt;"&amp;MAX(1,N(J30)))+1))</f>
        <v/>
      </c>
      <c r="AA30" s="51">
        <f>IF(V30=1,F30/(INDEX(SIS_K,W30)*INDEX(SIS_V,W30)*G30),0)</f>
        <v/>
      </c>
      <c r="AB30" s="18">
        <f>INDEX(ITM,MIN(COUNT(ITM),COUNTIF(ITM,"&lt;"&amp;MAX(1.25*AA30,IF(D30="Circuito derivado",N($F$12),0))-0.000001)+1))</f>
        <v/>
      </c>
      <c r="AC30" s="18">
        <f>COUNTIF(INDEX(TABLA2,0,Y30),"&lt;"&amp;MAX(AB30,1.25*AA30)/Z30-0.000001)+1</f>
        <v/>
      </c>
      <c r="AD30" s="18">
        <f>IF(V30=1,IF(AL30&lt;=0,99,COUNTIF(SECC,"&lt;"&amp;INDEX(SIS_K2,W30)*$F$10*H30*AA30*G30/AL30-0.000001)+1),1)</f>
        <v/>
      </c>
      <c r="AE30" s="18">
        <f>IFERROR(MATCH(N(K30),SECC,0),2)</f>
        <v/>
      </c>
      <c r="AF30" s="18">
        <f>MAX(AC30,AD30,AE30)</f>
        <v/>
      </c>
      <c r="AG30" s="18">
        <f>IF(AF30&lt;=COUNT(INDEX(TABLA2,0,Y30)),1,0)</f>
        <v/>
      </c>
      <c r="AH30" s="18">
        <f>IF(OR(ISBLANK(L30),ISNUMBER(L30)),1,0)</f>
        <v/>
      </c>
      <c r="AI30" s="51">
        <f>MIN(AJ30,$F$11-N(L30))</f>
        <v/>
      </c>
      <c r="AJ30" s="51">
        <f>IF(V30=1,INDEX(TRAMO_LIM,MATCH(D30,TRAMO_NOM,0)),2.5)</f>
        <v/>
      </c>
      <c r="AK30" s="54">
        <f>SQRT(MAX(0,1-N(G30)^2))</f>
        <v/>
      </c>
      <c r="AL30" s="54">
        <f>AI30/100*INDEX(SIS_V,W30)-INDEX(SIS_K2,W30)*N(H30)*AA30*$F$13/1000*AK30</f>
        <v/>
      </c>
    </row>
    <row r="31" ht="24" customHeight="1">
      <c r="B31" s="46" t="n">
        <v>17</v>
      </c>
      <c r="C31" s="57" t="n"/>
      <c r="D31" s="57" t="n"/>
      <c r="E31" s="57" t="n"/>
      <c r="F31" s="61" t="n"/>
      <c r="G31" s="29" t="n"/>
      <c r="H31" s="52" t="n"/>
      <c r="I31" s="56" t="n"/>
      <c r="J31" s="53" t="n"/>
      <c r="K31" s="52" t="n"/>
      <c r="L31" s="29" t="n"/>
      <c r="M31" s="47">
        <f>IF(V31=1,AA31,"")</f>
        <v/>
      </c>
      <c r="N31" s="36">
        <f>IF(V31=1,AB31,"")</f>
        <v/>
      </c>
      <c r="O31" s="35">
        <f>IF(V31=1,IF(AG31=1,INDEX(SECC,AF31),"Insuficiente"),"")</f>
        <v/>
      </c>
      <c r="P31" s="34">
        <f>IF(AND(V31=1,AG31=1),INDEX(TABLA2,AF31,Y31)*Z31,"")</f>
        <v/>
      </c>
      <c r="Q31" s="47">
        <f>IF(AND(V31=1,AG31=1),100*INDEX(SIS_K2,W31)*H31*AA31*($F$10*G31/O31+$F$13/1000*AK31)/INDEX(SIS_V,W31),"")</f>
        <v/>
      </c>
      <c r="R31" s="43">
        <f>IF(AND(V31=1,AG31=1),N(L31)+Q31,"")</f>
        <v/>
      </c>
      <c r="S31" s="68">
        <f>IF(V31=0,"",IF(AG31=0,"Insuficiente",IF(AND(AD31&gt;AC31,AD31&gt;=AE31),"Caída",IF(AC31&gt;=AE31,"Capacidad","S mínima"))))</f>
        <v/>
      </c>
      <c r="T31" s="42">
        <f>IF(C31="","",IF(V31=0,"REVISAR datos",IF(AH31=0,"REVISAR ΔV previo",IF(AG31=0,"NO CUMPLE",IF(AB31&lt;1.25*AA31-0.000001,"NO CUMPLE (ITM)",IF(AND(Q31&lt;=AJ31+0.000001,R31&lt;=$F$11+0.000001),"CUMPLE","NO CUMPLE"))))))</f>
        <v/>
      </c>
      <c r="V31" s="18">
        <f>IF(AND(C31&lt;&gt;"",D31&lt;&gt;"",E31&lt;&gt;"",N(F31)&gt;0,N(G31)&gt;0,N(H31)&gt;0,I31&lt;&gt;""),1,0)</f>
        <v/>
      </c>
      <c r="W31" s="18">
        <f>IF(V31=1,MATCH(E31,SIS_NOM,0),1)</f>
        <v/>
      </c>
      <c r="X31" s="18">
        <f>IF(V31=1,MATCH(I31,MET_COD,0),3)</f>
        <v/>
      </c>
      <c r="Y31" s="18">
        <f>(X31-1)*2+IF(INDEX(SIS_CARG,W31)=3,2,1)</f>
        <v/>
      </c>
      <c r="Z31" s="54">
        <f>IF(I31="D",INDEX(FT_TER,MATCH($F$9,FT_T,0)),INDEX(FT_AIR,MATCH($F$9,FT_T,0)))*INDEX(FA_F,MIN(COUNT(FA_N),COUNTIF(FA_N,"&lt;"&amp;MAX(1,N(J31)))+1))</f>
        <v/>
      </c>
      <c r="AA31" s="51">
        <f>IF(V31=1,F31/(INDEX(SIS_K,W31)*INDEX(SIS_V,W31)*G31),0)</f>
        <v/>
      </c>
      <c r="AB31" s="18">
        <f>INDEX(ITM,MIN(COUNT(ITM),COUNTIF(ITM,"&lt;"&amp;MAX(1.25*AA31,IF(D31="Circuito derivado",N($F$12),0))-0.000001)+1))</f>
        <v/>
      </c>
      <c r="AC31" s="18">
        <f>COUNTIF(INDEX(TABLA2,0,Y31),"&lt;"&amp;MAX(AB31,1.25*AA31)/Z31-0.000001)+1</f>
        <v/>
      </c>
      <c r="AD31" s="18">
        <f>IF(V31=1,IF(AL31&lt;=0,99,COUNTIF(SECC,"&lt;"&amp;INDEX(SIS_K2,W31)*$F$10*H31*AA31*G31/AL31-0.000001)+1),1)</f>
        <v/>
      </c>
      <c r="AE31" s="18">
        <f>IFERROR(MATCH(N(K31),SECC,0),2)</f>
        <v/>
      </c>
      <c r="AF31" s="18">
        <f>MAX(AC31,AD31,AE31)</f>
        <v/>
      </c>
      <c r="AG31" s="18">
        <f>IF(AF31&lt;=COUNT(INDEX(TABLA2,0,Y31)),1,0)</f>
        <v/>
      </c>
      <c r="AH31" s="18">
        <f>IF(OR(ISBLANK(L31),ISNUMBER(L31)),1,0)</f>
        <v/>
      </c>
      <c r="AI31" s="51">
        <f>MIN(AJ31,$F$11-N(L31))</f>
        <v/>
      </c>
      <c r="AJ31" s="51">
        <f>IF(V31=1,INDEX(TRAMO_LIM,MATCH(D31,TRAMO_NOM,0)),2.5)</f>
        <v/>
      </c>
      <c r="AK31" s="54">
        <f>SQRT(MAX(0,1-N(G31)^2))</f>
        <v/>
      </c>
      <c r="AL31" s="54">
        <f>AI31/100*INDEX(SIS_V,W31)-INDEX(SIS_K2,W31)*N(H31)*AA31*$F$13/1000*AK31</f>
        <v/>
      </c>
    </row>
    <row r="32" ht="24" customHeight="1">
      <c r="B32" s="46" t="n">
        <v>18</v>
      </c>
      <c r="C32" s="57" t="n"/>
      <c r="D32" s="57" t="n"/>
      <c r="E32" s="57" t="n"/>
      <c r="F32" s="61" t="n"/>
      <c r="G32" s="29" t="n"/>
      <c r="H32" s="52" t="n"/>
      <c r="I32" s="56" t="n"/>
      <c r="J32" s="53" t="n"/>
      <c r="K32" s="52" t="n"/>
      <c r="L32" s="29" t="n"/>
      <c r="M32" s="47">
        <f>IF(V32=1,AA32,"")</f>
        <v/>
      </c>
      <c r="N32" s="36">
        <f>IF(V32=1,AB32,"")</f>
        <v/>
      </c>
      <c r="O32" s="35">
        <f>IF(V32=1,IF(AG32=1,INDEX(SECC,AF32),"Insuficiente"),"")</f>
        <v/>
      </c>
      <c r="P32" s="34">
        <f>IF(AND(V32=1,AG32=1),INDEX(TABLA2,AF32,Y32)*Z32,"")</f>
        <v/>
      </c>
      <c r="Q32" s="47">
        <f>IF(AND(V32=1,AG32=1),100*INDEX(SIS_K2,W32)*H32*AA32*($F$10*G32/O32+$F$13/1000*AK32)/INDEX(SIS_V,W32),"")</f>
        <v/>
      </c>
      <c r="R32" s="43">
        <f>IF(AND(V32=1,AG32=1),N(L32)+Q32,"")</f>
        <v/>
      </c>
      <c r="S32" s="68">
        <f>IF(V32=0,"",IF(AG32=0,"Insuficiente",IF(AND(AD32&gt;AC32,AD32&gt;=AE32),"Caída",IF(AC32&gt;=AE32,"Capacidad","S mínima"))))</f>
        <v/>
      </c>
      <c r="T32" s="42">
        <f>IF(C32="","",IF(V32=0,"REVISAR datos",IF(AH32=0,"REVISAR ΔV previo",IF(AG32=0,"NO CUMPLE",IF(AB32&lt;1.25*AA32-0.000001,"NO CUMPLE (ITM)",IF(AND(Q32&lt;=AJ32+0.000001,R32&lt;=$F$11+0.000001),"CUMPLE","NO CUMPLE"))))))</f>
        <v/>
      </c>
      <c r="V32" s="18">
        <f>IF(AND(C32&lt;&gt;"",D32&lt;&gt;"",E32&lt;&gt;"",N(F32)&gt;0,N(G32)&gt;0,N(H32)&gt;0,I32&lt;&gt;""),1,0)</f>
        <v/>
      </c>
      <c r="W32" s="18">
        <f>IF(V32=1,MATCH(E32,SIS_NOM,0),1)</f>
        <v/>
      </c>
      <c r="X32" s="18">
        <f>IF(V32=1,MATCH(I32,MET_COD,0),3)</f>
        <v/>
      </c>
      <c r="Y32" s="18">
        <f>(X32-1)*2+IF(INDEX(SIS_CARG,W32)=3,2,1)</f>
        <v/>
      </c>
      <c r="Z32" s="54">
        <f>IF(I32="D",INDEX(FT_TER,MATCH($F$9,FT_T,0)),INDEX(FT_AIR,MATCH($F$9,FT_T,0)))*INDEX(FA_F,MIN(COUNT(FA_N),COUNTIF(FA_N,"&lt;"&amp;MAX(1,N(J32)))+1))</f>
        <v/>
      </c>
      <c r="AA32" s="51">
        <f>IF(V32=1,F32/(INDEX(SIS_K,W32)*INDEX(SIS_V,W32)*G32),0)</f>
        <v/>
      </c>
      <c r="AB32" s="18">
        <f>INDEX(ITM,MIN(COUNT(ITM),COUNTIF(ITM,"&lt;"&amp;MAX(1.25*AA32,IF(D32="Circuito derivado",N($F$12),0))-0.000001)+1))</f>
        <v/>
      </c>
      <c r="AC32" s="18">
        <f>COUNTIF(INDEX(TABLA2,0,Y32),"&lt;"&amp;MAX(AB32,1.25*AA32)/Z32-0.000001)+1</f>
        <v/>
      </c>
      <c r="AD32" s="18">
        <f>IF(V32=1,IF(AL32&lt;=0,99,COUNTIF(SECC,"&lt;"&amp;INDEX(SIS_K2,W32)*$F$10*H32*AA32*G32/AL32-0.000001)+1),1)</f>
        <v/>
      </c>
      <c r="AE32" s="18">
        <f>IFERROR(MATCH(N(K32),SECC,0),2)</f>
        <v/>
      </c>
      <c r="AF32" s="18">
        <f>MAX(AC32,AD32,AE32)</f>
        <v/>
      </c>
      <c r="AG32" s="18">
        <f>IF(AF32&lt;=COUNT(INDEX(TABLA2,0,Y32)),1,0)</f>
        <v/>
      </c>
      <c r="AH32" s="18">
        <f>IF(OR(ISBLANK(L32),ISNUMBER(L32)),1,0)</f>
        <v/>
      </c>
      <c r="AI32" s="51">
        <f>MIN(AJ32,$F$11-N(L32))</f>
        <v/>
      </c>
      <c r="AJ32" s="51">
        <f>IF(V32=1,INDEX(TRAMO_LIM,MATCH(D32,TRAMO_NOM,0)),2.5)</f>
        <v/>
      </c>
      <c r="AK32" s="54">
        <f>SQRT(MAX(0,1-N(G32)^2))</f>
        <v/>
      </c>
      <c r="AL32" s="54">
        <f>AI32/100*INDEX(SIS_V,W32)-INDEX(SIS_K2,W32)*N(H32)*AA32*$F$13/1000*AK32</f>
        <v/>
      </c>
    </row>
    <row r="33" ht="24" customHeight="1">
      <c r="B33" s="46" t="n">
        <v>19</v>
      </c>
      <c r="C33" s="57" t="n"/>
      <c r="D33" s="57" t="n"/>
      <c r="E33" s="57" t="n"/>
      <c r="F33" s="61" t="n"/>
      <c r="G33" s="29" t="n"/>
      <c r="H33" s="52" t="n"/>
      <c r="I33" s="56" t="n"/>
      <c r="J33" s="53" t="n"/>
      <c r="K33" s="52" t="n"/>
      <c r="L33" s="29" t="n"/>
      <c r="M33" s="47">
        <f>IF(V33=1,AA33,"")</f>
        <v/>
      </c>
      <c r="N33" s="36">
        <f>IF(V33=1,AB33,"")</f>
        <v/>
      </c>
      <c r="O33" s="35">
        <f>IF(V33=1,IF(AG33=1,INDEX(SECC,AF33),"Insuficiente"),"")</f>
        <v/>
      </c>
      <c r="P33" s="34">
        <f>IF(AND(V33=1,AG33=1),INDEX(TABLA2,AF33,Y33)*Z33,"")</f>
        <v/>
      </c>
      <c r="Q33" s="47">
        <f>IF(AND(V33=1,AG33=1),100*INDEX(SIS_K2,W33)*H33*AA33*($F$10*G33/O33+$F$13/1000*AK33)/INDEX(SIS_V,W33),"")</f>
        <v/>
      </c>
      <c r="R33" s="43">
        <f>IF(AND(V33=1,AG33=1),N(L33)+Q33,"")</f>
        <v/>
      </c>
      <c r="S33" s="68">
        <f>IF(V33=0,"",IF(AG33=0,"Insuficiente",IF(AND(AD33&gt;AC33,AD33&gt;=AE33),"Caída",IF(AC33&gt;=AE33,"Capacidad","S mínima"))))</f>
        <v/>
      </c>
      <c r="T33" s="42">
        <f>IF(C33="","",IF(V33=0,"REVISAR datos",IF(AH33=0,"REVISAR ΔV previo",IF(AG33=0,"NO CUMPLE",IF(AB33&lt;1.25*AA33-0.000001,"NO CUMPLE (ITM)",IF(AND(Q33&lt;=AJ33+0.000001,R33&lt;=$F$11+0.000001),"CUMPLE","NO CUMPLE"))))))</f>
        <v/>
      </c>
      <c r="V33" s="18">
        <f>IF(AND(C33&lt;&gt;"",D33&lt;&gt;"",E33&lt;&gt;"",N(F33)&gt;0,N(G33)&gt;0,N(H33)&gt;0,I33&lt;&gt;""),1,0)</f>
        <v/>
      </c>
      <c r="W33" s="18">
        <f>IF(V33=1,MATCH(E33,SIS_NOM,0),1)</f>
        <v/>
      </c>
      <c r="X33" s="18">
        <f>IF(V33=1,MATCH(I33,MET_COD,0),3)</f>
        <v/>
      </c>
      <c r="Y33" s="18">
        <f>(X33-1)*2+IF(INDEX(SIS_CARG,W33)=3,2,1)</f>
        <v/>
      </c>
      <c r="Z33" s="54">
        <f>IF(I33="D",INDEX(FT_TER,MATCH($F$9,FT_T,0)),INDEX(FT_AIR,MATCH($F$9,FT_T,0)))*INDEX(FA_F,MIN(COUNT(FA_N),COUNTIF(FA_N,"&lt;"&amp;MAX(1,N(J33)))+1))</f>
        <v/>
      </c>
      <c r="AA33" s="51">
        <f>IF(V33=1,F33/(INDEX(SIS_K,W33)*INDEX(SIS_V,W33)*G33),0)</f>
        <v/>
      </c>
      <c r="AB33" s="18">
        <f>INDEX(ITM,MIN(COUNT(ITM),COUNTIF(ITM,"&lt;"&amp;MAX(1.25*AA33,IF(D33="Circuito derivado",N($F$12),0))-0.000001)+1))</f>
        <v/>
      </c>
      <c r="AC33" s="18">
        <f>COUNTIF(INDEX(TABLA2,0,Y33),"&lt;"&amp;MAX(AB33,1.25*AA33)/Z33-0.000001)+1</f>
        <v/>
      </c>
      <c r="AD33" s="18">
        <f>IF(V33=1,IF(AL33&lt;=0,99,COUNTIF(SECC,"&lt;"&amp;INDEX(SIS_K2,W33)*$F$10*H33*AA33*G33/AL33-0.000001)+1),1)</f>
        <v/>
      </c>
      <c r="AE33" s="18">
        <f>IFERROR(MATCH(N(K33),SECC,0),2)</f>
        <v/>
      </c>
      <c r="AF33" s="18">
        <f>MAX(AC33,AD33,AE33)</f>
        <v/>
      </c>
      <c r="AG33" s="18">
        <f>IF(AF33&lt;=COUNT(INDEX(TABLA2,0,Y33)),1,0)</f>
        <v/>
      </c>
      <c r="AH33" s="18">
        <f>IF(OR(ISBLANK(L33),ISNUMBER(L33)),1,0)</f>
        <v/>
      </c>
      <c r="AI33" s="51">
        <f>MIN(AJ33,$F$11-N(L33))</f>
        <v/>
      </c>
      <c r="AJ33" s="51">
        <f>IF(V33=1,INDEX(TRAMO_LIM,MATCH(D33,TRAMO_NOM,0)),2.5)</f>
        <v/>
      </c>
      <c r="AK33" s="54">
        <f>SQRT(MAX(0,1-N(G33)^2))</f>
        <v/>
      </c>
      <c r="AL33" s="54">
        <f>AI33/100*INDEX(SIS_V,W33)-INDEX(SIS_K2,W33)*N(H33)*AA33*$F$13/1000*AK33</f>
        <v/>
      </c>
    </row>
    <row r="34" ht="24" customHeight="1">
      <c r="B34" s="46" t="n">
        <v>20</v>
      </c>
      <c r="C34" s="57" t="n"/>
      <c r="D34" s="57" t="n"/>
      <c r="E34" s="57" t="n"/>
      <c r="F34" s="61" t="n"/>
      <c r="G34" s="29" t="n"/>
      <c r="H34" s="52" t="n"/>
      <c r="I34" s="56" t="n"/>
      <c r="J34" s="53" t="n"/>
      <c r="K34" s="52" t="n"/>
      <c r="L34" s="29" t="n"/>
      <c r="M34" s="47">
        <f>IF(V34=1,AA34,"")</f>
        <v/>
      </c>
      <c r="N34" s="36">
        <f>IF(V34=1,AB34,"")</f>
        <v/>
      </c>
      <c r="O34" s="35">
        <f>IF(V34=1,IF(AG34=1,INDEX(SECC,AF34),"Insuficiente"),"")</f>
        <v/>
      </c>
      <c r="P34" s="34">
        <f>IF(AND(V34=1,AG34=1),INDEX(TABLA2,AF34,Y34)*Z34,"")</f>
        <v/>
      </c>
      <c r="Q34" s="47">
        <f>IF(AND(V34=1,AG34=1),100*INDEX(SIS_K2,W34)*H34*AA34*($F$10*G34/O34+$F$13/1000*AK34)/INDEX(SIS_V,W34),"")</f>
        <v/>
      </c>
      <c r="R34" s="43">
        <f>IF(AND(V34=1,AG34=1),N(L34)+Q34,"")</f>
        <v/>
      </c>
      <c r="S34" s="68">
        <f>IF(V34=0,"",IF(AG34=0,"Insuficiente",IF(AND(AD34&gt;AC34,AD34&gt;=AE34),"Caída",IF(AC34&gt;=AE34,"Capacidad","S mínima"))))</f>
        <v/>
      </c>
      <c r="T34" s="42">
        <f>IF(C34="","",IF(V34=0,"REVISAR datos",IF(AH34=0,"REVISAR ΔV previo",IF(AG34=0,"NO CUMPLE",IF(AB34&lt;1.25*AA34-0.000001,"NO CUMPLE (ITM)",IF(AND(Q34&lt;=AJ34+0.000001,R34&lt;=$F$11+0.000001),"CUMPLE","NO CUMPLE"))))))</f>
        <v/>
      </c>
      <c r="V34" s="18">
        <f>IF(AND(C34&lt;&gt;"",D34&lt;&gt;"",E34&lt;&gt;"",N(F34)&gt;0,N(G34)&gt;0,N(H34)&gt;0,I34&lt;&gt;""),1,0)</f>
        <v/>
      </c>
      <c r="W34" s="18">
        <f>IF(V34=1,MATCH(E34,SIS_NOM,0),1)</f>
        <v/>
      </c>
      <c r="X34" s="18">
        <f>IF(V34=1,MATCH(I34,MET_COD,0),3)</f>
        <v/>
      </c>
      <c r="Y34" s="18">
        <f>(X34-1)*2+IF(INDEX(SIS_CARG,W34)=3,2,1)</f>
        <v/>
      </c>
      <c r="Z34" s="54">
        <f>IF(I34="D",INDEX(FT_TER,MATCH($F$9,FT_T,0)),INDEX(FT_AIR,MATCH($F$9,FT_T,0)))*INDEX(FA_F,MIN(COUNT(FA_N),COUNTIF(FA_N,"&lt;"&amp;MAX(1,N(J34)))+1))</f>
        <v/>
      </c>
      <c r="AA34" s="51">
        <f>IF(V34=1,F34/(INDEX(SIS_K,W34)*INDEX(SIS_V,W34)*G34),0)</f>
        <v/>
      </c>
      <c r="AB34" s="18">
        <f>INDEX(ITM,MIN(COUNT(ITM),COUNTIF(ITM,"&lt;"&amp;MAX(1.25*AA34,IF(D34="Circuito derivado",N($F$12),0))-0.000001)+1))</f>
        <v/>
      </c>
      <c r="AC34" s="18">
        <f>COUNTIF(INDEX(TABLA2,0,Y34),"&lt;"&amp;MAX(AB34,1.25*AA34)/Z34-0.000001)+1</f>
        <v/>
      </c>
      <c r="AD34" s="18">
        <f>IF(V34=1,IF(AL34&lt;=0,99,COUNTIF(SECC,"&lt;"&amp;INDEX(SIS_K2,W34)*$F$10*H34*AA34*G34/AL34-0.000001)+1),1)</f>
        <v/>
      </c>
      <c r="AE34" s="18">
        <f>IFERROR(MATCH(N(K34),SECC,0),2)</f>
        <v/>
      </c>
      <c r="AF34" s="18">
        <f>MAX(AC34,AD34,AE34)</f>
        <v/>
      </c>
      <c r="AG34" s="18">
        <f>IF(AF34&lt;=COUNT(INDEX(TABLA2,0,Y34)),1,0)</f>
        <v/>
      </c>
      <c r="AH34" s="18">
        <f>IF(OR(ISBLANK(L34),ISNUMBER(L34)),1,0)</f>
        <v/>
      </c>
      <c r="AI34" s="51">
        <f>MIN(AJ34,$F$11-N(L34))</f>
        <v/>
      </c>
      <c r="AJ34" s="51">
        <f>IF(V34=1,INDEX(TRAMO_LIM,MATCH(D34,TRAMO_NOM,0)),2.5)</f>
        <v/>
      </c>
      <c r="AK34" s="54">
        <f>SQRT(MAX(0,1-N(G34)^2))</f>
        <v/>
      </c>
      <c r="AL34" s="54">
        <f>AI34/100*INDEX(SIS_V,W34)-INDEX(SIS_K2,W34)*N(H34)*AA34*$F$13/1000*AK34</f>
        <v/>
      </c>
    </row>
    <row r="35" ht="24" customHeight="1">
      <c r="B35" s="46" t="n">
        <v>21</v>
      </c>
      <c r="C35" s="57" t="n"/>
      <c r="D35" s="57" t="n"/>
      <c r="E35" s="57" t="n"/>
      <c r="F35" s="61" t="n"/>
      <c r="G35" s="29" t="n"/>
      <c r="H35" s="52" t="n"/>
      <c r="I35" s="56" t="n"/>
      <c r="J35" s="53" t="n"/>
      <c r="K35" s="52" t="n"/>
      <c r="L35" s="29" t="n"/>
      <c r="M35" s="47">
        <f>IF(V35=1,AA35,"")</f>
        <v/>
      </c>
      <c r="N35" s="36">
        <f>IF(V35=1,AB35,"")</f>
        <v/>
      </c>
      <c r="O35" s="35">
        <f>IF(V35=1,IF(AG35=1,INDEX(SECC,AF35),"Insuficiente"),"")</f>
        <v/>
      </c>
      <c r="P35" s="34">
        <f>IF(AND(V35=1,AG35=1),INDEX(TABLA2,AF35,Y35)*Z35,"")</f>
        <v/>
      </c>
      <c r="Q35" s="47">
        <f>IF(AND(V35=1,AG35=1),100*INDEX(SIS_K2,W35)*H35*AA35*($F$10*G35/O35+$F$13/1000*AK35)/INDEX(SIS_V,W35),"")</f>
        <v/>
      </c>
      <c r="R35" s="43">
        <f>IF(AND(V35=1,AG35=1),N(L35)+Q35,"")</f>
        <v/>
      </c>
      <c r="S35" s="68">
        <f>IF(V35=0,"",IF(AG35=0,"Insuficiente",IF(AND(AD35&gt;AC35,AD35&gt;=AE35),"Caída",IF(AC35&gt;=AE35,"Capacidad","S mínima"))))</f>
        <v/>
      </c>
      <c r="T35" s="42">
        <f>IF(C35="","",IF(V35=0,"REVISAR datos",IF(AH35=0,"REVISAR ΔV previo",IF(AG35=0,"NO CUMPLE",IF(AB35&lt;1.25*AA35-0.000001,"NO CUMPLE (ITM)",IF(AND(Q35&lt;=AJ35+0.000001,R35&lt;=$F$11+0.000001),"CUMPLE","NO CUMPLE"))))))</f>
        <v/>
      </c>
      <c r="V35" s="18">
        <f>IF(AND(C35&lt;&gt;"",D35&lt;&gt;"",E35&lt;&gt;"",N(F35)&gt;0,N(G35)&gt;0,N(H35)&gt;0,I35&lt;&gt;""),1,0)</f>
        <v/>
      </c>
      <c r="W35" s="18">
        <f>IF(V35=1,MATCH(E35,SIS_NOM,0),1)</f>
        <v/>
      </c>
      <c r="X35" s="18">
        <f>IF(V35=1,MATCH(I35,MET_COD,0),3)</f>
        <v/>
      </c>
      <c r="Y35" s="18">
        <f>(X35-1)*2+IF(INDEX(SIS_CARG,W35)=3,2,1)</f>
        <v/>
      </c>
      <c r="Z35" s="54">
        <f>IF(I35="D",INDEX(FT_TER,MATCH($F$9,FT_T,0)),INDEX(FT_AIR,MATCH($F$9,FT_T,0)))*INDEX(FA_F,MIN(COUNT(FA_N),COUNTIF(FA_N,"&lt;"&amp;MAX(1,N(J35)))+1))</f>
        <v/>
      </c>
      <c r="AA35" s="51">
        <f>IF(V35=1,F35/(INDEX(SIS_K,W35)*INDEX(SIS_V,W35)*G35),0)</f>
        <v/>
      </c>
      <c r="AB35" s="18">
        <f>INDEX(ITM,MIN(COUNT(ITM),COUNTIF(ITM,"&lt;"&amp;MAX(1.25*AA35,IF(D35="Circuito derivado",N($F$12),0))-0.000001)+1))</f>
        <v/>
      </c>
      <c r="AC35" s="18">
        <f>COUNTIF(INDEX(TABLA2,0,Y35),"&lt;"&amp;MAX(AB35,1.25*AA35)/Z35-0.000001)+1</f>
        <v/>
      </c>
      <c r="AD35" s="18">
        <f>IF(V35=1,IF(AL35&lt;=0,99,COUNTIF(SECC,"&lt;"&amp;INDEX(SIS_K2,W35)*$F$10*H35*AA35*G35/AL35-0.000001)+1),1)</f>
        <v/>
      </c>
      <c r="AE35" s="18">
        <f>IFERROR(MATCH(N(K35),SECC,0),2)</f>
        <v/>
      </c>
      <c r="AF35" s="18">
        <f>MAX(AC35,AD35,AE35)</f>
        <v/>
      </c>
      <c r="AG35" s="18">
        <f>IF(AF35&lt;=COUNT(INDEX(TABLA2,0,Y35)),1,0)</f>
        <v/>
      </c>
      <c r="AH35" s="18">
        <f>IF(OR(ISBLANK(L35),ISNUMBER(L35)),1,0)</f>
        <v/>
      </c>
      <c r="AI35" s="51">
        <f>MIN(AJ35,$F$11-N(L35))</f>
        <v/>
      </c>
      <c r="AJ35" s="51">
        <f>IF(V35=1,INDEX(TRAMO_LIM,MATCH(D35,TRAMO_NOM,0)),2.5)</f>
        <v/>
      </c>
      <c r="AK35" s="54">
        <f>SQRT(MAX(0,1-N(G35)^2))</f>
        <v/>
      </c>
      <c r="AL35" s="54">
        <f>AI35/100*INDEX(SIS_V,W35)-INDEX(SIS_K2,W35)*N(H35)*AA35*$F$13/1000*AK35</f>
        <v/>
      </c>
    </row>
    <row r="36" ht="24" customHeight="1">
      <c r="B36" s="46" t="n">
        <v>22</v>
      </c>
      <c r="C36" s="57" t="n"/>
      <c r="D36" s="57" t="n"/>
      <c r="E36" s="57" t="n"/>
      <c r="F36" s="61" t="n"/>
      <c r="G36" s="29" t="n"/>
      <c r="H36" s="52" t="n"/>
      <c r="I36" s="56" t="n"/>
      <c r="J36" s="53" t="n"/>
      <c r="K36" s="52" t="n"/>
      <c r="L36" s="29" t="n"/>
      <c r="M36" s="47">
        <f>IF(V36=1,AA36,"")</f>
        <v/>
      </c>
      <c r="N36" s="36">
        <f>IF(V36=1,AB36,"")</f>
        <v/>
      </c>
      <c r="O36" s="35">
        <f>IF(V36=1,IF(AG36=1,INDEX(SECC,AF36),"Insuficiente"),"")</f>
        <v/>
      </c>
      <c r="P36" s="34">
        <f>IF(AND(V36=1,AG36=1),INDEX(TABLA2,AF36,Y36)*Z36,"")</f>
        <v/>
      </c>
      <c r="Q36" s="47">
        <f>IF(AND(V36=1,AG36=1),100*INDEX(SIS_K2,W36)*H36*AA36*($F$10*G36/O36+$F$13/1000*AK36)/INDEX(SIS_V,W36),"")</f>
        <v/>
      </c>
      <c r="R36" s="43">
        <f>IF(AND(V36=1,AG36=1),N(L36)+Q36,"")</f>
        <v/>
      </c>
      <c r="S36" s="68">
        <f>IF(V36=0,"",IF(AG36=0,"Insuficiente",IF(AND(AD36&gt;AC36,AD36&gt;=AE36),"Caída",IF(AC36&gt;=AE36,"Capacidad","S mínima"))))</f>
        <v/>
      </c>
      <c r="T36" s="42">
        <f>IF(C36="","",IF(V36=0,"REVISAR datos",IF(AH36=0,"REVISAR ΔV previo",IF(AG36=0,"NO CUMPLE",IF(AB36&lt;1.25*AA36-0.000001,"NO CUMPLE (ITM)",IF(AND(Q36&lt;=AJ36+0.000001,R36&lt;=$F$11+0.000001),"CUMPLE","NO CUMPLE"))))))</f>
        <v/>
      </c>
      <c r="V36" s="18">
        <f>IF(AND(C36&lt;&gt;"",D36&lt;&gt;"",E36&lt;&gt;"",N(F36)&gt;0,N(G36)&gt;0,N(H36)&gt;0,I36&lt;&gt;""),1,0)</f>
        <v/>
      </c>
      <c r="W36" s="18">
        <f>IF(V36=1,MATCH(E36,SIS_NOM,0),1)</f>
        <v/>
      </c>
      <c r="X36" s="18">
        <f>IF(V36=1,MATCH(I36,MET_COD,0),3)</f>
        <v/>
      </c>
      <c r="Y36" s="18">
        <f>(X36-1)*2+IF(INDEX(SIS_CARG,W36)=3,2,1)</f>
        <v/>
      </c>
      <c r="Z36" s="54">
        <f>IF(I36="D",INDEX(FT_TER,MATCH($F$9,FT_T,0)),INDEX(FT_AIR,MATCH($F$9,FT_T,0)))*INDEX(FA_F,MIN(COUNT(FA_N),COUNTIF(FA_N,"&lt;"&amp;MAX(1,N(J36)))+1))</f>
        <v/>
      </c>
      <c r="AA36" s="51">
        <f>IF(V36=1,F36/(INDEX(SIS_K,W36)*INDEX(SIS_V,W36)*G36),0)</f>
        <v/>
      </c>
      <c r="AB36" s="18">
        <f>INDEX(ITM,MIN(COUNT(ITM),COUNTIF(ITM,"&lt;"&amp;MAX(1.25*AA36,IF(D36="Circuito derivado",N($F$12),0))-0.000001)+1))</f>
        <v/>
      </c>
      <c r="AC36" s="18">
        <f>COUNTIF(INDEX(TABLA2,0,Y36),"&lt;"&amp;MAX(AB36,1.25*AA36)/Z36-0.000001)+1</f>
        <v/>
      </c>
      <c r="AD36" s="18">
        <f>IF(V36=1,IF(AL36&lt;=0,99,COUNTIF(SECC,"&lt;"&amp;INDEX(SIS_K2,W36)*$F$10*H36*AA36*G36/AL36-0.000001)+1),1)</f>
        <v/>
      </c>
      <c r="AE36" s="18">
        <f>IFERROR(MATCH(N(K36),SECC,0),2)</f>
        <v/>
      </c>
      <c r="AF36" s="18">
        <f>MAX(AC36,AD36,AE36)</f>
        <v/>
      </c>
      <c r="AG36" s="18">
        <f>IF(AF36&lt;=COUNT(INDEX(TABLA2,0,Y36)),1,0)</f>
        <v/>
      </c>
      <c r="AH36" s="18">
        <f>IF(OR(ISBLANK(L36),ISNUMBER(L36)),1,0)</f>
        <v/>
      </c>
      <c r="AI36" s="51">
        <f>MIN(AJ36,$F$11-N(L36))</f>
        <v/>
      </c>
      <c r="AJ36" s="51">
        <f>IF(V36=1,INDEX(TRAMO_LIM,MATCH(D36,TRAMO_NOM,0)),2.5)</f>
        <v/>
      </c>
      <c r="AK36" s="54">
        <f>SQRT(MAX(0,1-N(G36)^2))</f>
        <v/>
      </c>
      <c r="AL36" s="54">
        <f>AI36/100*INDEX(SIS_V,W36)-INDEX(SIS_K2,W36)*N(H36)*AA36*$F$13/1000*AK36</f>
        <v/>
      </c>
    </row>
    <row r="37" ht="24" customHeight="1">
      <c r="B37" s="46" t="n">
        <v>23</v>
      </c>
      <c r="C37" s="57" t="n"/>
      <c r="D37" s="57" t="n"/>
      <c r="E37" s="57" t="n"/>
      <c r="F37" s="61" t="n"/>
      <c r="G37" s="29" t="n"/>
      <c r="H37" s="52" t="n"/>
      <c r="I37" s="56" t="n"/>
      <c r="J37" s="53" t="n"/>
      <c r="K37" s="52" t="n"/>
      <c r="L37" s="29" t="n"/>
      <c r="M37" s="47">
        <f>IF(V37=1,AA37,"")</f>
        <v/>
      </c>
      <c r="N37" s="36">
        <f>IF(V37=1,AB37,"")</f>
        <v/>
      </c>
      <c r="O37" s="35">
        <f>IF(V37=1,IF(AG37=1,INDEX(SECC,AF37),"Insuficiente"),"")</f>
        <v/>
      </c>
      <c r="P37" s="34">
        <f>IF(AND(V37=1,AG37=1),INDEX(TABLA2,AF37,Y37)*Z37,"")</f>
        <v/>
      </c>
      <c r="Q37" s="47">
        <f>IF(AND(V37=1,AG37=1),100*INDEX(SIS_K2,W37)*H37*AA37*($F$10*G37/O37+$F$13/1000*AK37)/INDEX(SIS_V,W37),"")</f>
        <v/>
      </c>
      <c r="R37" s="43">
        <f>IF(AND(V37=1,AG37=1),N(L37)+Q37,"")</f>
        <v/>
      </c>
      <c r="S37" s="68">
        <f>IF(V37=0,"",IF(AG37=0,"Insuficiente",IF(AND(AD37&gt;AC37,AD37&gt;=AE37),"Caída",IF(AC37&gt;=AE37,"Capacidad","S mínima"))))</f>
        <v/>
      </c>
      <c r="T37" s="42">
        <f>IF(C37="","",IF(V37=0,"REVISAR datos",IF(AH37=0,"REVISAR ΔV previo",IF(AG37=0,"NO CUMPLE",IF(AB37&lt;1.25*AA37-0.000001,"NO CUMPLE (ITM)",IF(AND(Q37&lt;=AJ37+0.000001,R37&lt;=$F$11+0.000001),"CUMPLE","NO CUMPLE"))))))</f>
        <v/>
      </c>
      <c r="V37" s="18">
        <f>IF(AND(C37&lt;&gt;"",D37&lt;&gt;"",E37&lt;&gt;"",N(F37)&gt;0,N(G37)&gt;0,N(H37)&gt;0,I37&lt;&gt;""),1,0)</f>
        <v/>
      </c>
      <c r="W37" s="18">
        <f>IF(V37=1,MATCH(E37,SIS_NOM,0),1)</f>
        <v/>
      </c>
      <c r="X37" s="18">
        <f>IF(V37=1,MATCH(I37,MET_COD,0),3)</f>
        <v/>
      </c>
      <c r="Y37" s="18">
        <f>(X37-1)*2+IF(INDEX(SIS_CARG,W37)=3,2,1)</f>
        <v/>
      </c>
      <c r="Z37" s="54">
        <f>IF(I37="D",INDEX(FT_TER,MATCH($F$9,FT_T,0)),INDEX(FT_AIR,MATCH($F$9,FT_T,0)))*INDEX(FA_F,MIN(COUNT(FA_N),COUNTIF(FA_N,"&lt;"&amp;MAX(1,N(J37)))+1))</f>
        <v/>
      </c>
      <c r="AA37" s="51">
        <f>IF(V37=1,F37/(INDEX(SIS_K,W37)*INDEX(SIS_V,W37)*G37),0)</f>
        <v/>
      </c>
      <c r="AB37" s="18">
        <f>INDEX(ITM,MIN(COUNT(ITM),COUNTIF(ITM,"&lt;"&amp;MAX(1.25*AA37,IF(D37="Circuito derivado",N($F$12),0))-0.000001)+1))</f>
        <v/>
      </c>
      <c r="AC37" s="18">
        <f>COUNTIF(INDEX(TABLA2,0,Y37),"&lt;"&amp;MAX(AB37,1.25*AA37)/Z37-0.000001)+1</f>
        <v/>
      </c>
      <c r="AD37" s="18">
        <f>IF(V37=1,IF(AL37&lt;=0,99,COUNTIF(SECC,"&lt;"&amp;INDEX(SIS_K2,W37)*$F$10*H37*AA37*G37/AL37-0.000001)+1),1)</f>
        <v/>
      </c>
      <c r="AE37" s="18">
        <f>IFERROR(MATCH(N(K37),SECC,0),2)</f>
        <v/>
      </c>
      <c r="AF37" s="18">
        <f>MAX(AC37,AD37,AE37)</f>
        <v/>
      </c>
      <c r="AG37" s="18">
        <f>IF(AF37&lt;=COUNT(INDEX(TABLA2,0,Y37)),1,0)</f>
        <v/>
      </c>
      <c r="AH37" s="18">
        <f>IF(OR(ISBLANK(L37),ISNUMBER(L37)),1,0)</f>
        <v/>
      </c>
      <c r="AI37" s="51">
        <f>MIN(AJ37,$F$11-N(L37))</f>
        <v/>
      </c>
      <c r="AJ37" s="51">
        <f>IF(V37=1,INDEX(TRAMO_LIM,MATCH(D37,TRAMO_NOM,0)),2.5)</f>
        <v/>
      </c>
      <c r="AK37" s="54">
        <f>SQRT(MAX(0,1-N(G37)^2))</f>
        <v/>
      </c>
      <c r="AL37" s="54">
        <f>AI37/100*INDEX(SIS_V,W37)-INDEX(SIS_K2,W37)*N(H37)*AA37*$F$13/1000*AK37</f>
        <v/>
      </c>
    </row>
    <row r="38" ht="24" customHeight="1">
      <c r="B38" s="46" t="n">
        <v>24</v>
      </c>
      <c r="C38" s="57" t="n"/>
      <c r="D38" s="57" t="n"/>
      <c r="E38" s="57" t="n"/>
      <c r="F38" s="61" t="n"/>
      <c r="G38" s="29" t="n"/>
      <c r="H38" s="52" t="n"/>
      <c r="I38" s="56" t="n"/>
      <c r="J38" s="53" t="n"/>
      <c r="K38" s="52" t="n"/>
      <c r="L38" s="29" t="n"/>
      <c r="M38" s="47">
        <f>IF(V38=1,AA38,"")</f>
        <v/>
      </c>
      <c r="N38" s="36">
        <f>IF(V38=1,AB38,"")</f>
        <v/>
      </c>
      <c r="O38" s="35">
        <f>IF(V38=1,IF(AG38=1,INDEX(SECC,AF38),"Insuficiente"),"")</f>
        <v/>
      </c>
      <c r="P38" s="34">
        <f>IF(AND(V38=1,AG38=1),INDEX(TABLA2,AF38,Y38)*Z38,"")</f>
        <v/>
      </c>
      <c r="Q38" s="47">
        <f>IF(AND(V38=1,AG38=1),100*INDEX(SIS_K2,W38)*H38*AA38*($F$10*G38/O38+$F$13/1000*AK38)/INDEX(SIS_V,W38),"")</f>
        <v/>
      </c>
      <c r="R38" s="43">
        <f>IF(AND(V38=1,AG38=1),N(L38)+Q38,"")</f>
        <v/>
      </c>
      <c r="S38" s="68">
        <f>IF(V38=0,"",IF(AG38=0,"Insuficiente",IF(AND(AD38&gt;AC38,AD38&gt;=AE38),"Caída",IF(AC38&gt;=AE38,"Capacidad","S mínima"))))</f>
        <v/>
      </c>
      <c r="T38" s="42">
        <f>IF(C38="","",IF(V38=0,"REVISAR datos",IF(AH38=0,"REVISAR ΔV previo",IF(AG38=0,"NO CUMPLE",IF(AB38&lt;1.25*AA38-0.000001,"NO CUMPLE (ITM)",IF(AND(Q38&lt;=AJ38+0.000001,R38&lt;=$F$11+0.000001),"CUMPLE","NO CUMPLE"))))))</f>
        <v/>
      </c>
      <c r="V38" s="18">
        <f>IF(AND(C38&lt;&gt;"",D38&lt;&gt;"",E38&lt;&gt;"",N(F38)&gt;0,N(G38)&gt;0,N(H38)&gt;0,I38&lt;&gt;""),1,0)</f>
        <v/>
      </c>
      <c r="W38" s="18">
        <f>IF(V38=1,MATCH(E38,SIS_NOM,0),1)</f>
        <v/>
      </c>
      <c r="X38" s="18">
        <f>IF(V38=1,MATCH(I38,MET_COD,0),3)</f>
        <v/>
      </c>
      <c r="Y38" s="18">
        <f>(X38-1)*2+IF(INDEX(SIS_CARG,W38)=3,2,1)</f>
        <v/>
      </c>
      <c r="Z38" s="54">
        <f>IF(I38="D",INDEX(FT_TER,MATCH($F$9,FT_T,0)),INDEX(FT_AIR,MATCH($F$9,FT_T,0)))*INDEX(FA_F,MIN(COUNT(FA_N),COUNTIF(FA_N,"&lt;"&amp;MAX(1,N(J38)))+1))</f>
        <v/>
      </c>
      <c r="AA38" s="51">
        <f>IF(V38=1,F38/(INDEX(SIS_K,W38)*INDEX(SIS_V,W38)*G38),0)</f>
        <v/>
      </c>
      <c r="AB38" s="18">
        <f>INDEX(ITM,MIN(COUNT(ITM),COUNTIF(ITM,"&lt;"&amp;MAX(1.25*AA38,IF(D38="Circuito derivado",N($F$12),0))-0.000001)+1))</f>
        <v/>
      </c>
      <c r="AC38" s="18">
        <f>COUNTIF(INDEX(TABLA2,0,Y38),"&lt;"&amp;MAX(AB38,1.25*AA38)/Z38-0.000001)+1</f>
        <v/>
      </c>
      <c r="AD38" s="18">
        <f>IF(V38=1,IF(AL38&lt;=0,99,COUNTIF(SECC,"&lt;"&amp;INDEX(SIS_K2,W38)*$F$10*H38*AA38*G38/AL38-0.000001)+1),1)</f>
        <v/>
      </c>
      <c r="AE38" s="18">
        <f>IFERROR(MATCH(N(K38),SECC,0),2)</f>
        <v/>
      </c>
      <c r="AF38" s="18">
        <f>MAX(AC38,AD38,AE38)</f>
        <v/>
      </c>
      <c r="AG38" s="18">
        <f>IF(AF38&lt;=COUNT(INDEX(TABLA2,0,Y38)),1,0)</f>
        <v/>
      </c>
      <c r="AH38" s="18">
        <f>IF(OR(ISBLANK(L38),ISNUMBER(L38)),1,0)</f>
        <v/>
      </c>
      <c r="AI38" s="51">
        <f>MIN(AJ38,$F$11-N(L38))</f>
        <v/>
      </c>
      <c r="AJ38" s="51">
        <f>IF(V38=1,INDEX(TRAMO_LIM,MATCH(D38,TRAMO_NOM,0)),2.5)</f>
        <v/>
      </c>
      <c r="AK38" s="54">
        <f>SQRT(MAX(0,1-N(G38)^2))</f>
        <v/>
      </c>
      <c r="AL38" s="54">
        <f>AI38/100*INDEX(SIS_V,W38)-INDEX(SIS_K2,W38)*N(H38)*AA38*$F$13/1000*AK38</f>
        <v/>
      </c>
    </row>
    <row r="39" ht="24" customHeight="1">
      <c r="B39" s="46" t="n">
        <v>25</v>
      </c>
      <c r="C39" s="57" t="n"/>
      <c r="D39" s="57" t="n"/>
      <c r="E39" s="57" t="n"/>
      <c r="F39" s="61" t="n"/>
      <c r="G39" s="29" t="n"/>
      <c r="H39" s="52" t="n"/>
      <c r="I39" s="56" t="n"/>
      <c r="J39" s="53" t="n"/>
      <c r="K39" s="52" t="n"/>
      <c r="L39" s="29" t="n"/>
      <c r="M39" s="47">
        <f>IF(V39=1,AA39,"")</f>
        <v/>
      </c>
      <c r="N39" s="36">
        <f>IF(V39=1,AB39,"")</f>
        <v/>
      </c>
      <c r="O39" s="35">
        <f>IF(V39=1,IF(AG39=1,INDEX(SECC,AF39),"Insuficiente"),"")</f>
        <v/>
      </c>
      <c r="P39" s="34">
        <f>IF(AND(V39=1,AG39=1),INDEX(TABLA2,AF39,Y39)*Z39,"")</f>
        <v/>
      </c>
      <c r="Q39" s="47">
        <f>IF(AND(V39=1,AG39=1),100*INDEX(SIS_K2,W39)*H39*AA39*($F$10*G39/O39+$F$13/1000*AK39)/INDEX(SIS_V,W39),"")</f>
        <v/>
      </c>
      <c r="R39" s="43">
        <f>IF(AND(V39=1,AG39=1),N(L39)+Q39,"")</f>
        <v/>
      </c>
      <c r="S39" s="68">
        <f>IF(V39=0,"",IF(AG39=0,"Insuficiente",IF(AND(AD39&gt;AC39,AD39&gt;=AE39),"Caída",IF(AC39&gt;=AE39,"Capacidad","S mínima"))))</f>
        <v/>
      </c>
      <c r="T39" s="42">
        <f>IF(C39="","",IF(V39=0,"REVISAR datos",IF(AH39=0,"REVISAR ΔV previo",IF(AG39=0,"NO CUMPLE",IF(AB39&lt;1.25*AA39-0.000001,"NO CUMPLE (ITM)",IF(AND(Q39&lt;=AJ39+0.000001,R39&lt;=$F$11+0.000001),"CUMPLE","NO CUMPLE"))))))</f>
        <v/>
      </c>
      <c r="V39" s="18">
        <f>IF(AND(C39&lt;&gt;"",D39&lt;&gt;"",E39&lt;&gt;"",N(F39)&gt;0,N(G39)&gt;0,N(H39)&gt;0,I39&lt;&gt;""),1,0)</f>
        <v/>
      </c>
      <c r="W39" s="18">
        <f>IF(V39=1,MATCH(E39,SIS_NOM,0),1)</f>
        <v/>
      </c>
      <c r="X39" s="18">
        <f>IF(V39=1,MATCH(I39,MET_COD,0),3)</f>
        <v/>
      </c>
      <c r="Y39" s="18">
        <f>(X39-1)*2+IF(INDEX(SIS_CARG,W39)=3,2,1)</f>
        <v/>
      </c>
      <c r="Z39" s="54">
        <f>IF(I39="D",INDEX(FT_TER,MATCH($F$9,FT_T,0)),INDEX(FT_AIR,MATCH($F$9,FT_T,0)))*INDEX(FA_F,MIN(COUNT(FA_N),COUNTIF(FA_N,"&lt;"&amp;MAX(1,N(J39)))+1))</f>
        <v/>
      </c>
      <c r="AA39" s="51">
        <f>IF(V39=1,F39/(INDEX(SIS_K,W39)*INDEX(SIS_V,W39)*G39),0)</f>
        <v/>
      </c>
      <c r="AB39" s="18">
        <f>INDEX(ITM,MIN(COUNT(ITM),COUNTIF(ITM,"&lt;"&amp;MAX(1.25*AA39,IF(D39="Circuito derivado",N($F$12),0))-0.000001)+1))</f>
        <v/>
      </c>
      <c r="AC39" s="18">
        <f>COUNTIF(INDEX(TABLA2,0,Y39),"&lt;"&amp;MAX(AB39,1.25*AA39)/Z39-0.000001)+1</f>
        <v/>
      </c>
      <c r="AD39" s="18">
        <f>IF(V39=1,IF(AL39&lt;=0,99,COUNTIF(SECC,"&lt;"&amp;INDEX(SIS_K2,W39)*$F$10*H39*AA39*G39/AL39-0.000001)+1),1)</f>
        <v/>
      </c>
      <c r="AE39" s="18">
        <f>IFERROR(MATCH(N(K39),SECC,0),2)</f>
        <v/>
      </c>
      <c r="AF39" s="18">
        <f>MAX(AC39,AD39,AE39)</f>
        <v/>
      </c>
      <c r="AG39" s="18">
        <f>IF(AF39&lt;=COUNT(INDEX(TABLA2,0,Y39)),1,0)</f>
        <v/>
      </c>
      <c r="AH39" s="18">
        <f>IF(OR(ISBLANK(L39),ISNUMBER(L39)),1,0)</f>
        <v/>
      </c>
      <c r="AI39" s="51">
        <f>MIN(AJ39,$F$11-N(L39))</f>
        <v/>
      </c>
      <c r="AJ39" s="51">
        <f>IF(V39=1,INDEX(TRAMO_LIM,MATCH(D39,TRAMO_NOM,0)),2.5)</f>
        <v/>
      </c>
      <c r="AK39" s="54">
        <f>SQRT(MAX(0,1-N(G39)^2))</f>
        <v/>
      </c>
      <c r="AL39" s="54">
        <f>AI39/100*INDEX(SIS_V,W39)-INDEX(SIS_K2,W39)*N(H39)*AA39*$F$13/1000*AK39</f>
        <v/>
      </c>
    </row>
    <row r="41">
      <c r="B41" s="31" t="inlineStr">
        <is>
          <t>Capacidad: CNE-U Tabla 2 (Cu, PVC 70 °C) con los factores de las Tablas 5A y 5C. ΔV = k'·L·I·(ρ·cos φ/S + X·sen φ) con la corriente de la carga (050-102); la sección se elige para el límite del tramo y el saldo del 4 % acumulado. Para el detalle de un tramo (conductor de protección, tubería y designación) use la hoja CAIDA_TENSION.</t>
        </is>
      </c>
    </row>
    <row r="42"/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23">
    <mergeCell ref="F11:G11"/>
    <mergeCell ref="B41:T42"/>
    <mergeCell ref="F10:G10"/>
    <mergeCell ref="B3:C3"/>
    <mergeCell ref="B8:D8"/>
    <mergeCell ref="C9:E9"/>
    <mergeCell ref="C12:E12"/>
    <mergeCell ref="C11:E11"/>
    <mergeCell ref="F12:G12"/>
    <mergeCell ref="D6:T6"/>
    <mergeCell ref="C13:E13"/>
    <mergeCell ref="F13:G13"/>
    <mergeCell ref="B2:T2"/>
    <mergeCell ref="F9:G9"/>
    <mergeCell ref="I9:T13"/>
    <mergeCell ref="D4:T4"/>
    <mergeCell ref="B6:C6"/>
    <mergeCell ref="D3:T3"/>
    <mergeCell ref="B5:C5"/>
    <mergeCell ref="B1:T1"/>
    <mergeCell ref="D5:T5"/>
    <mergeCell ref="B4:C4"/>
    <mergeCell ref="C10:E10"/>
  </mergeCells>
  <conditionalFormatting sqref="S15:T39">
    <cfRule type="expression" priority="1" dxfId="0" stopIfTrue="1">
      <formula>ISNUMBER(SEARCH("NO CUMPLE",S15))</formula>
    </cfRule>
    <cfRule type="expression" priority="2" dxfId="1" stopIfTrue="1">
      <formula>OR(LEFT(S15,7)="REVISAR",LEFT(S15,6)="AVISO:",LEFT(S15,7)="Elija e",LEFT(S15,9)="Insuficie")</formula>
    </cfRule>
    <cfRule type="expression" priority="3" dxfId="2">
      <formula>S15="CUMPLE"</formula>
    </cfRule>
  </conditionalFormatting>
  <dataValidations count="6">
    <dataValidation sqref="F9" showDropDown="0" showInputMessage="0" showErrorMessage="0" allowBlank="1" errorTitle="Valor no válido" error="Elija un valor de la lista" type="list">
      <formula1>=FT_T</formula1>
    </dataValidation>
    <dataValidation sqref="F12" showDropDown="0" showInputMessage="0" showErrorMessage="0" allowBlank="1" errorTitle="Valor no válido" error="Elija un valor de la lista" type="list">
      <formula1>=ITM</formula1>
    </dataValidation>
    <dataValidation sqref="D15 D16 D17 D18 D19 D20 D21 D22 D23 D24 D25 D26 D27 D28 D29 D30 D31 D32 D33 D34 D35 D36 D37 D38 D39" showDropDown="0" showInputMessage="0" showErrorMessage="0" allowBlank="1" errorTitle="Valor no válido" error="Elija un valor de la lista" type="list">
      <formula1>=TRAMO_NOM</formula1>
    </dataValidation>
    <dataValidation sqref="E15 E16 E17 E18 E19 E20 E21 E22 E23 E24 E25 E26 E27 E28 E29 E30 E31 E32 E33 E34 E35 E36 E37 E38 E39" showDropDown="0" showInputMessage="0" showErrorMessage="0" allowBlank="1" errorTitle="Valor no válido" error="Elija un valor de la lista" type="list">
      <formula1>=SIS_NOM</formula1>
    </dataValidation>
    <dataValidation sqref="I15 I16 I17 I18 I19 I20 I21 I22 I23 I24 I25 I26 I27 I28 I29 I30 I31 I32 I33 I34 I35 I36 I37 I38 I39" showDropDown="0" showInputMessage="0" showErrorMessage="0" allowBlank="1" errorTitle="Valor no válido" error="Elija un valor de la lista" type="list">
      <formula1>"A1,A2,B1,B2,C,D"</formula1>
    </dataValidation>
    <dataValidation sqref="K15 K16 K17 K18 K19 K20 K21 K22 K23 K24 K25 K26 K27 K28 K29 K30 K31 K32 K33 K34 K35 K36 K37 K38 K39" showDropDown="0" showInputMessage="0" showErrorMessage="0" allowBlank="1" errorTitle="Valor no válido" error="Elija un valor de la lista" type="list">
      <formula1>=SMIN</formula1>
    </dataValidation>
  </dataValidations>
  <printOptions horizontalCentered="1"/>
  <pageMargins left="0.5" right="0.5" top="0.6" bottom="0.6" header="0.3" footer="0.3"/>
  <pageSetup orientation="landscape" paperSize="9" fitToHeight="0" fitToWidth="1"/>
  <headerFooter>
    <oddHeader>&amp;L&amp;"Times New Roman,Regular"&amp;7 ALF_BIM · Calculadoras IIEE ALF · Cuadro de circuitos&amp;R&amp;"Times New Roman,Regular"&amp;7 Página &amp;P de &amp;N</oddHeader>
    <oddFooter>&amp;L&amp;"Times New Roman,Regular"&amp;7 www.alfbim.com · Herramienta gratuita de apoyo. Los resultados deben ser revisados por un ingeniero electricista o mecánico electricista colegiado.&amp;R&amp;"Times New Roman,Regular"&amp;7 &amp;A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566070"/>
    <outlinePr summaryBelow="1" summaryRight="1"/>
    <pageSetUpPr fitToPage="1"/>
  </sheetPr>
  <dimension ref="B1:R575"/>
  <sheetViews>
    <sheetView showGridLines="0" tabSelected="0" workbookViewId="0">
      <selection activeCell="A1" sqref="A1"/>
    </sheetView>
  </sheetViews>
  <sheetFormatPr baseColWidth="8" defaultRowHeight="15"/>
  <cols>
    <col width="1.5" customWidth="1" min="1" max="1"/>
    <col width="4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30" customWidth="1" min="16" max="16"/>
  </cols>
  <sheetData>
    <row r="1">
      <c r="B1" s="69" t="inlineStr">
        <is>
          <t>TABLAS DE REFERENCIA · CALCULADORAS IIEE ALF</t>
        </is>
      </c>
    </row>
    <row r="2">
      <c r="B2" s="3" t="inlineStr">
        <is>
          <t>Las demás hojas leen estos valores. La hoja está protegida sin contraseña: si su copia oficial de la norma difiere, corrija aquí (Revisar &gt; Desproteger hoja) y avise a ALF_BIM.</t>
        </is>
      </c>
    </row>
    <row r="4">
      <c r="B4" s="4" t="inlineStr">
        <is>
          <t>CNE-U TABLA 2 · CAPACIDAD DE CORRIENTE (A) · COBRE, AISLAMIENTO TERMOPLÁSTICO 70 °C</t>
        </is>
      </c>
    </row>
    <row r="5">
      <c r="B5" s="3" t="inlineStr">
        <is>
          <t>Temperatura de referencia 30 °C en aire y 20 °C en terreno (método D). 2 = dos conductores cargados (monofásico), 3 = tres (trifásico). Diámetro exterior aproximado de NH-80 / THW-90 (catálogos) para el cálculo de tuberías.</t>
        </is>
      </c>
    </row>
    <row r="6" ht="26" customHeight="1">
      <c r="B6" s="32" t="inlineStr">
        <is>
          <t>Sección (mm²)</t>
        </is>
      </c>
      <c r="C6" s="32" t="inlineStr">
        <is>
          <t>A1-2</t>
        </is>
      </c>
      <c r="D6" s="32" t="inlineStr">
        <is>
          <t>A1-3</t>
        </is>
      </c>
      <c r="E6" s="32" t="inlineStr">
        <is>
          <t>A2-2</t>
        </is>
      </c>
      <c r="F6" s="32" t="inlineStr">
        <is>
          <t>A2-3</t>
        </is>
      </c>
      <c r="G6" s="32" t="inlineStr">
        <is>
          <t>B1-2</t>
        </is>
      </c>
      <c r="H6" s="32" t="inlineStr">
        <is>
          <t>B1-3</t>
        </is>
      </c>
      <c r="I6" s="32" t="inlineStr">
        <is>
          <t>B2-2</t>
        </is>
      </c>
      <c r="J6" s="32" t="inlineStr">
        <is>
          <t>B2-3</t>
        </is>
      </c>
      <c r="K6" s="32" t="inlineStr">
        <is>
          <t>C-2</t>
        </is>
      </c>
      <c r="L6" s="32" t="inlineStr">
        <is>
          <t>C-3</t>
        </is>
      </c>
      <c r="M6" s="32" t="inlineStr">
        <is>
          <t>D-2</t>
        </is>
      </c>
      <c r="N6" s="32" t="inlineStr">
        <is>
          <t>D-3</t>
        </is>
      </c>
      <c r="O6" s="32" t="inlineStr">
        <is>
          <t>Ø ext. (mm)</t>
        </is>
      </c>
    </row>
    <row r="7">
      <c r="B7" s="66" t="n">
        <v>1.5</v>
      </c>
      <c r="C7" s="46" t="n">
        <v>14.5</v>
      </c>
      <c r="D7" s="46" t="n">
        <v>13.5</v>
      </c>
      <c r="E7" s="46" t="n">
        <v>14</v>
      </c>
      <c r="F7" s="46" t="n">
        <v>13</v>
      </c>
      <c r="G7" s="46" t="n">
        <v>17.5</v>
      </c>
      <c r="H7" s="46" t="n">
        <v>15.5</v>
      </c>
      <c r="I7" s="46" t="n">
        <v>16.5</v>
      </c>
      <c r="J7" s="46" t="n">
        <v>15</v>
      </c>
      <c r="K7" s="46" t="n">
        <v>19.5</v>
      </c>
      <c r="L7" s="46" t="n">
        <v>17.5</v>
      </c>
      <c r="M7" s="46" t="n">
        <v>22</v>
      </c>
      <c r="N7" s="46" t="n">
        <v>18</v>
      </c>
      <c r="O7" s="46" t="n">
        <v>3</v>
      </c>
    </row>
    <row r="8">
      <c r="B8" s="66" t="n">
        <v>2.5</v>
      </c>
      <c r="C8" s="46" t="n">
        <v>19.5</v>
      </c>
      <c r="D8" s="46" t="n">
        <v>18</v>
      </c>
      <c r="E8" s="46" t="n">
        <v>18.5</v>
      </c>
      <c r="F8" s="46" t="n">
        <v>17.5</v>
      </c>
      <c r="G8" s="46" t="n">
        <v>24</v>
      </c>
      <c r="H8" s="46" t="n">
        <v>21</v>
      </c>
      <c r="I8" s="46" t="n">
        <v>23</v>
      </c>
      <c r="J8" s="46" t="n">
        <v>20</v>
      </c>
      <c r="K8" s="46" t="n">
        <v>27</v>
      </c>
      <c r="L8" s="46" t="n">
        <v>24</v>
      </c>
      <c r="M8" s="46" t="n">
        <v>29</v>
      </c>
      <c r="N8" s="46" t="n">
        <v>24</v>
      </c>
      <c r="O8" s="46" t="n">
        <v>3.5</v>
      </c>
    </row>
    <row r="9">
      <c r="B9" s="66" t="n">
        <v>4</v>
      </c>
      <c r="C9" s="46" t="n">
        <v>26</v>
      </c>
      <c r="D9" s="46" t="n">
        <v>24</v>
      </c>
      <c r="E9" s="46" t="n">
        <v>25</v>
      </c>
      <c r="F9" s="46" t="n">
        <v>23</v>
      </c>
      <c r="G9" s="46" t="n">
        <v>32</v>
      </c>
      <c r="H9" s="46" t="n">
        <v>28</v>
      </c>
      <c r="I9" s="46" t="n">
        <v>30</v>
      </c>
      <c r="J9" s="46" t="n">
        <v>27</v>
      </c>
      <c r="K9" s="46" t="n">
        <v>36</v>
      </c>
      <c r="L9" s="46" t="n">
        <v>32</v>
      </c>
      <c r="M9" s="46" t="n">
        <v>38</v>
      </c>
      <c r="N9" s="46" t="n">
        <v>31</v>
      </c>
      <c r="O9" s="46" t="n">
        <v>4</v>
      </c>
    </row>
    <row r="10">
      <c r="B10" s="66" t="n">
        <v>6</v>
      </c>
      <c r="C10" s="46" t="n">
        <v>34</v>
      </c>
      <c r="D10" s="46" t="n">
        <v>31</v>
      </c>
      <c r="E10" s="46" t="n">
        <v>32</v>
      </c>
      <c r="F10" s="46" t="n">
        <v>29</v>
      </c>
      <c r="G10" s="46" t="n">
        <v>41</v>
      </c>
      <c r="H10" s="46" t="n">
        <v>36</v>
      </c>
      <c r="I10" s="46" t="n">
        <v>38</v>
      </c>
      <c r="J10" s="46" t="n">
        <v>34</v>
      </c>
      <c r="K10" s="46" t="n">
        <v>46</v>
      </c>
      <c r="L10" s="46" t="n">
        <v>41</v>
      </c>
      <c r="M10" s="46" t="n">
        <v>47</v>
      </c>
      <c r="N10" s="46" t="n">
        <v>39</v>
      </c>
      <c r="O10" s="46" t="n">
        <v>4.6</v>
      </c>
    </row>
    <row r="11">
      <c r="B11" s="66" t="n">
        <v>10</v>
      </c>
      <c r="C11" s="46" t="n">
        <v>46</v>
      </c>
      <c r="D11" s="46" t="n">
        <v>42</v>
      </c>
      <c r="E11" s="46" t="n">
        <v>43</v>
      </c>
      <c r="F11" s="46" t="n">
        <v>39</v>
      </c>
      <c r="G11" s="46" t="n">
        <v>57</v>
      </c>
      <c r="H11" s="46" t="n">
        <v>50</v>
      </c>
      <c r="I11" s="46" t="n">
        <v>52</v>
      </c>
      <c r="J11" s="46" t="n">
        <v>46</v>
      </c>
      <c r="K11" s="46" t="n">
        <v>63</v>
      </c>
      <c r="L11" s="46" t="n">
        <v>57</v>
      </c>
      <c r="M11" s="46" t="n">
        <v>63</v>
      </c>
      <c r="N11" s="46" t="n">
        <v>52</v>
      </c>
      <c r="O11" s="46" t="n">
        <v>6</v>
      </c>
    </row>
    <row r="12">
      <c r="B12" s="66" t="n">
        <v>16</v>
      </c>
      <c r="C12" s="46" t="n">
        <v>61</v>
      </c>
      <c r="D12" s="46" t="n">
        <v>56</v>
      </c>
      <c r="E12" s="46" t="n">
        <v>57</v>
      </c>
      <c r="F12" s="46" t="n">
        <v>52</v>
      </c>
      <c r="G12" s="46" t="n">
        <v>76</v>
      </c>
      <c r="H12" s="46" t="n">
        <v>68</v>
      </c>
      <c r="I12" s="46" t="n">
        <v>69</v>
      </c>
      <c r="J12" s="46" t="n">
        <v>62</v>
      </c>
      <c r="K12" s="46" t="n">
        <v>85</v>
      </c>
      <c r="L12" s="46" t="n">
        <v>76</v>
      </c>
      <c r="M12" s="46" t="n">
        <v>81</v>
      </c>
      <c r="N12" s="46" t="n">
        <v>67</v>
      </c>
      <c r="O12" s="46" t="n">
        <v>7.6</v>
      </c>
    </row>
    <row r="13">
      <c r="B13" s="66" t="n">
        <v>25</v>
      </c>
      <c r="C13" s="46" t="n">
        <v>80</v>
      </c>
      <c r="D13" s="46" t="n">
        <v>73</v>
      </c>
      <c r="E13" s="46" t="n">
        <v>75</v>
      </c>
      <c r="F13" s="46" t="n">
        <v>68</v>
      </c>
      <c r="G13" s="46" t="n">
        <v>101</v>
      </c>
      <c r="H13" s="46" t="n">
        <v>89</v>
      </c>
      <c r="I13" s="46" t="n">
        <v>90</v>
      </c>
      <c r="J13" s="46" t="n">
        <v>80</v>
      </c>
      <c r="K13" s="46" t="n">
        <v>112</v>
      </c>
      <c r="L13" s="46" t="n">
        <v>96</v>
      </c>
      <c r="M13" s="46" t="n">
        <v>104</v>
      </c>
      <c r="N13" s="46" t="n">
        <v>86</v>
      </c>
      <c r="O13" s="46" t="n">
        <v>9.4</v>
      </c>
    </row>
    <row r="14">
      <c r="B14" s="66" t="n">
        <v>35</v>
      </c>
      <c r="C14" s="46" t="n">
        <v>99</v>
      </c>
      <c r="D14" s="46" t="n">
        <v>89</v>
      </c>
      <c r="E14" s="46" t="n">
        <v>92</v>
      </c>
      <c r="F14" s="46" t="n">
        <v>83</v>
      </c>
      <c r="G14" s="46" t="n">
        <v>125</v>
      </c>
      <c r="H14" s="46" t="n">
        <v>110</v>
      </c>
      <c r="I14" s="46" t="n">
        <v>111</v>
      </c>
      <c r="J14" s="46" t="n">
        <v>99</v>
      </c>
      <c r="K14" s="46" t="n">
        <v>138</v>
      </c>
      <c r="L14" s="46" t="n">
        <v>119</v>
      </c>
      <c r="M14" s="46" t="n">
        <v>125</v>
      </c>
      <c r="N14" s="46" t="n">
        <v>103</v>
      </c>
      <c r="O14" s="46" t="n">
        <v>10.7</v>
      </c>
    </row>
    <row r="15">
      <c r="B15" s="66" t="n">
        <v>50</v>
      </c>
      <c r="C15" s="46" t="n">
        <v>119</v>
      </c>
      <c r="D15" s="46" t="n">
        <v>108</v>
      </c>
      <c r="E15" s="46" t="n">
        <v>110</v>
      </c>
      <c r="F15" s="46" t="n">
        <v>99</v>
      </c>
      <c r="G15" s="46" t="n">
        <v>151</v>
      </c>
      <c r="H15" s="46" t="n">
        <v>134</v>
      </c>
      <c r="I15" s="46" t="n">
        <v>133</v>
      </c>
      <c r="J15" s="46" t="n">
        <v>118</v>
      </c>
      <c r="K15" s="46" t="n">
        <v>168</v>
      </c>
      <c r="L15" s="46" t="n">
        <v>144</v>
      </c>
      <c r="M15" s="46" t="n">
        <v>148</v>
      </c>
      <c r="N15" s="46" t="n">
        <v>122</v>
      </c>
      <c r="O15" s="46" t="n">
        <v>12.6</v>
      </c>
    </row>
    <row r="16">
      <c r="B16" s="66" t="n">
        <v>70</v>
      </c>
      <c r="C16" s="46" t="n">
        <v>151</v>
      </c>
      <c r="D16" s="46" t="n">
        <v>136</v>
      </c>
      <c r="E16" s="46" t="n">
        <v>139</v>
      </c>
      <c r="F16" s="46" t="n">
        <v>125</v>
      </c>
      <c r="G16" s="46" t="n">
        <v>192</v>
      </c>
      <c r="H16" s="46" t="n">
        <v>171</v>
      </c>
      <c r="I16" s="46" t="n">
        <v>168</v>
      </c>
      <c r="J16" s="46" t="n">
        <v>149</v>
      </c>
      <c r="K16" s="46" t="n">
        <v>213</v>
      </c>
      <c r="L16" s="46" t="n">
        <v>184</v>
      </c>
      <c r="M16" s="46" t="n">
        <v>183</v>
      </c>
      <c r="N16" s="46" t="n">
        <v>151</v>
      </c>
      <c r="O16" s="46" t="n">
        <v>14.6</v>
      </c>
    </row>
    <row r="17">
      <c r="B17" s="66" t="n">
        <v>95</v>
      </c>
      <c r="C17" s="46" t="n">
        <v>182</v>
      </c>
      <c r="D17" s="46" t="n">
        <v>164</v>
      </c>
      <c r="E17" s="46" t="n">
        <v>167</v>
      </c>
      <c r="F17" s="46" t="n">
        <v>150</v>
      </c>
      <c r="G17" s="46" t="n">
        <v>232</v>
      </c>
      <c r="H17" s="46" t="n">
        <v>207</v>
      </c>
      <c r="I17" s="46" t="n">
        <v>201</v>
      </c>
      <c r="J17" s="46" t="n">
        <v>179</v>
      </c>
      <c r="K17" s="46" t="n">
        <v>258</v>
      </c>
      <c r="L17" s="46" t="n">
        <v>223</v>
      </c>
      <c r="M17" s="46" t="n">
        <v>216</v>
      </c>
      <c r="N17" s="46" t="n">
        <v>179</v>
      </c>
      <c r="O17" s="46" t="n">
        <v>16.9</v>
      </c>
    </row>
    <row r="18">
      <c r="B18" s="66" t="n">
        <v>120</v>
      </c>
      <c r="C18" s="46" t="n">
        <v>210</v>
      </c>
      <c r="D18" s="46" t="n">
        <v>188</v>
      </c>
      <c r="E18" s="46" t="n">
        <v>192</v>
      </c>
      <c r="F18" s="46" t="n">
        <v>172</v>
      </c>
      <c r="G18" s="46" t="n">
        <v>269</v>
      </c>
      <c r="H18" s="46" t="n">
        <v>239</v>
      </c>
      <c r="I18" s="46" t="n">
        <v>232</v>
      </c>
      <c r="J18" s="46" t="n">
        <v>206</v>
      </c>
      <c r="K18" s="46" t="n">
        <v>299</v>
      </c>
      <c r="L18" s="46" t="n">
        <v>259</v>
      </c>
      <c r="M18" s="46" t="n">
        <v>246</v>
      </c>
      <c r="N18" s="46" t="n">
        <v>203</v>
      </c>
      <c r="O18" s="46" t="n">
        <v>18.9</v>
      </c>
    </row>
    <row r="19">
      <c r="B19" s="66" t="n">
        <v>150</v>
      </c>
      <c r="C19" s="46" t="n">
        <v>240</v>
      </c>
      <c r="D19" s="46" t="n">
        <v>216</v>
      </c>
      <c r="E19" s="46" t="n">
        <v>219</v>
      </c>
      <c r="F19" s="46" t="n">
        <v>196</v>
      </c>
      <c r="G19" s="46" t="n"/>
      <c r="H19" s="46" t="n"/>
      <c r="I19" s="46" t="n"/>
      <c r="J19" s="46" t="n"/>
      <c r="K19" s="46" t="n">
        <v>344</v>
      </c>
      <c r="L19" s="46" t="n">
        <v>299</v>
      </c>
      <c r="M19" s="46" t="n">
        <v>278</v>
      </c>
      <c r="N19" s="46" t="n">
        <v>230</v>
      </c>
      <c r="O19" s="46" t="n">
        <v>21</v>
      </c>
    </row>
    <row r="20">
      <c r="B20" s="66" t="n">
        <v>185</v>
      </c>
      <c r="C20" s="46" t="n">
        <v>273</v>
      </c>
      <c r="D20" s="46" t="n">
        <v>245</v>
      </c>
      <c r="E20" s="46" t="n">
        <v>248</v>
      </c>
      <c r="F20" s="46" t="n">
        <v>223</v>
      </c>
      <c r="G20" s="46" t="n"/>
      <c r="H20" s="46" t="n"/>
      <c r="I20" s="46" t="n"/>
      <c r="J20" s="46" t="n"/>
      <c r="K20" s="46" t="n">
        <v>395</v>
      </c>
      <c r="L20" s="46" t="n">
        <v>341</v>
      </c>
      <c r="M20" s="46" t="n">
        <v>312</v>
      </c>
      <c r="N20" s="46" t="n">
        <v>258</v>
      </c>
      <c r="O20" s="46" t="n">
        <v>23.5</v>
      </c>
    </row>
    <row r="21">
      <c r="B21" s="66" t="n">
        <v>240</v>
      </c>
      <c r="C21" s="46" t="n">
        <v>321</v>
      </c>
      <c r="D21" s="46" t="n">
        <v>286</v>
      </c>
      <c r="E21" s="46" t="n">
        <v>291</v>
      </c>
      <c r="F21" s="46" t="n">
        <v>261</v>
      </c>
      <c r="G21" s="46" t="n"/>
      <c r="H21" s="46" t="n"/>
      <c r="I21" s="46" t="n"/>
      <c r="J21" s="46" t="n"/>
      <c r="K21" s="46" t="n">
        <v>461</v>
      </c>
      <c r="L21" s="46" t="n">
        <v>403</v>
      </c>
      <c r="M21" s="46" t="n">
        <v>361</v>
      </c>
      <c r="N21" s="46" t="n">
        <v>297</v>
      </c>
      <c r="O21" s="46" t="n">
        <v>26.5</v>
      </c>
    </row>
    <row r="24">
      <c r="B24" s="4" t="inlineStr">
        <is>
          <t>MÉTODOS DE INSTALACIÓN (CNE-U Tabla 2 / IEC 60364-5-52)</t>
        </is>
      </c>
    </row>
    <row r="25" ht="26" customHeight="1">
      <c r="B25" s="32" t="inlineStr">
        <is>
          <t>Descripción</t>
        </is>
      </c>
      <c r="C25" s="32" t="inlineStr">
        <is>
          <t>Código</t>
        </is>
      </c>
    </row>
    <row r="26">
      <c r="B26" s="33" t="inlineStr">
        <is>
          <t>A1 · Unipolares en tubo dentro de pared térmicamente aislante</t>
        </is>
      </c>
      <c r="C26" s="46" t="inlineStr">
        <is>
          <t>A1</t>
        </is>
      </c>
    </row>
    <row r="27">
      <c r="B27" s="33" t="inlineStr">
        <is>
          <t>A2 · Multipolar en tubo dentro de pared térmicamente aislante</t>
        </is>
      </c>
      <c r="C27" s="46" t="inlineStr">
        <is>
          <t>A2</t>
        </is>
      </c>
    </row>
    <row r="28">
      <c r="B28" s="33" t="inlineStr">
        <is>
          <t>B1 · Unipolares en tubo empotrado o sobre pared (lo usual en edificaciones)</t>
        </is>
      </c>
      <c r="C28" s="46" t="inlineStr">
        <is>
          <t>B1</t>
        </is>
      </c>
    </row>
    <row r="29">
      <c r="B29" s="33" t="inlineStr">
        <is>
          <t>B2 · Multipolar en tubo empotrado o sobre pared</t>
        </is>
      </c>
      <c r="C29" s="46" t="inlineStr">
        <is>
          <t>B2</t>
        </is>
      </c>
    </row>
    <row r="30">
      <c r="B30" s="33" t="inlineStr">
        <is>
          <t>C · Cable adosado a pared o en bandeja no perforada</t>
        </is>
      </c>
      <c r="C30" s="46" t="inlineStr">
        <is>
          <t>C</t>
        </is>
      </c>
    </row>
    <row r="31">
      <c r="B31" s="33" t="inlineStr">
        <is>
          <t>D · Cable en ducto enterrado (terreno a 20 °C)</t>
        </is>
      </c>
      <c r="C31" s="46" t="inlineStr">
        <is>
          <t>D</t>
        </is>
      </c>
    </row>
    <row r="34">
      <c r="B34" s="4" t="inlineStr">
        <is>
          <t>FACTOR DE CORRECCIÓN POR TEMPERATURA · CNE-U TABLA 5A (PVC)</t>
        </is>
      </c>
    </row>
    <row r="35" ht="26" customHeight="1">
      <c r="B35" s="32" t="inlineStr">
        <is>
          <t>Temperatura (°C)</t>
        </is>
      </c>
      <c r="C35" s="32" t="inlineStr">
        <is>
          <t>En aire</t>
        </is>
      </c>
      <c r="D35" s="32" t="inlineStr">
        <is>
          <t>En terreno</t>
        </is>
      </c>
    </row>
    <row r="36">
      <c r="B36" s="46" t="n">
        <v>10</v>
      </c>
      <c r="C36" s="46" t="n">
        <v>1.22</v>
      </c>
      <c r="D36" s="46" t="n">
        <v>1.1</v>
      </c>
    </row>
    <row r="37">
      <c r="B37" s="46" t="n">
        <v>15</v>
      </c>
      <c r="C37" s="46" t="n">
        <v>1.17</v>
      </c>
      <c r="D37" s="46" t="n">
        <v>1.05</v>
      </c>
    </row>
    <row r="38">
      <c r="B38" s="46" t="n">
        <v>20</v>
      </c>
      <c r="C38" s="46" t="n">
        <v>1.12</v>
      </c>
      <c r="D38" s="46" t="n">
        <v>1</v>
      </c>
    </row>
    <row r="39">
      <c r="B39" s="46" t="n">
        <v>25</v>
      </c>
      <c r="C39" s="46" t="n">
        <v>1.06</v>
      </c>
      <c r="D39" s="46" t="n">
        <v>0.95</v>
      </c>
    </row>
    <row r="40">
      <c r="B40" s="46" t="n">
        <v>30</v>
      </c>
      <c r="C40" s="46" t="n">
        <v>1</v>
      </c>
      <c r="D40" s="46" t="n">
        <v>0.89</v>
      </c>
    </row>
    <row r="41">
      <c r="B41" s="46" t="n">
        <v>35</v>
      </c>
      <c r="C41" s="46" t="n">
        <v>0.9399999999999999</v>
      </c>
      <c r="D41" s="46" t="n">
        <v>0.84</v>
      </c>
    </row>
    <row r="42">
      <c r="B42" s="46" t="n">
        <v>40</v>
      </c>
      <c r="C42" s="46" t="n">
        <v>0.87</v>
      </c>
      <c r="D42" s="46" t="n">
        <v>0.77</v>
      </c>
    </row>
    <row r="43">
      <c r="B43" s="46" t="n">
        <v>45</v>
      </c>
      <c r="C43" s="46" t="n">
        <v>0.79</v>
      </c>
      <c r="D43" s="46" t="n">
        <v>0.71</v>
      </c>
    </row>
    <row r="44">
      <c r="B44" s="46" t="n">
        <v>50</v>
      </c>
      <c r="C44" s="46" t="n">
        <v>0.71</v>
      </c>
      <c r="D44" s="46" t="n">
        <v>0.63</v>
      </c>
    </row>
    <row r="45">
      <c r="B45" s="46" t="n">
        <v>55</v>
      </c>
      <c r="C45" s="46" t="n">
        <v>0.61</v>
      </c>
      <c r="D45" s="46" t="n">
        <v>0.55</v>
      </c>
    </row>
    <row r="46">
      <c r="B46" s="46" t="n">
        <v>60</v>
      </c>
      <c r="C46" s="46" t="n">
        <v>0.5</v>
      </c>
      <c r="D46" s="46" t="n">
        <v>0.45</v>
      </c>
    </row>
    <row r="49">
      <c r="B49" s="4" t="inlineStr">
        <is>
          <t>FACTOR POR AGRUPAMIENTO · CNE-U TABLA 5C, ÍTEM 1</t>
        </is>
      </c>
    </row>
    <row r="50">
      <c r="B50" s="3" t="inlineStr">
        <is>
          <t>Circuitos agrupados en el mismo tubo o haz; para valores intermedios se toma el siguiente mayor.</t>
        </is>
      </c>
    </row>
    <row r="51" ht="26" customHeight="1">
      <c r="B51" s="32" t="inlineStr">
        <is>
          <t>N.° de circuitos (hasta)</t>
        </is>
      </c>
      <c r="C51" s="32" t="inlineStr">
        <is>
          <t>Factor</t>
        </is>
      </c>
    </row>
    <row r="52">
      <c r="B52" s="46" t="n">
        <v>1</v>
      </c>
      <c r="C52" s="46" t="n">
        <v>1</v>
      </c>
    </row>
    <row r="53">
      <c r="B53" s="46" t="n">
        <v>2</v>
      </c>
      <c r="C53" s="46" t="n">
        <v>0.8</v>
      </c>
    </row>
    <row r="54">
      <c r="B54" s="46" t="n">
        <v>3</v>
      </c>
      <c r="C54" s="46" t="n">
        <v>0.7</v>
      </c>
    </row>
    <row r="55">
      <c r="B55" s="46" t="n">
        <v>4</v>
      </c>
      <c r="C55" s="46" t="n">
        <v>0.65</v>
      </c>
    </row>
    <row r="56">
      <c r="B56" s="46" t="n">
        <v>5</v>
      </c>
      <c r="C56" s="46" t="n">
        <v>0.6</v>
      </c>
    </row>
    <row r="57">
      <c r="B57" s="46" t="n">
        <v>6</v>
      </c>
      <c r="C57" s="46" t="n">
        <v>0.57</v>
      </c>
    </row>
    <row r="58">
      <c r="B58" s="46" t="n">
        <v>7</v>
      </c>
      <c r="C58" s="46" t="n">
        <v>0.54</v>
      </c>
    </row>
    <row r="59">
      <c r="B59" s="46" t="n">
        <v>8</v>
      </c>
      <c r="C59" s="46" t="n">
        <v>0.52</v>
      </c>
    </row>
    <row r="60">
      <c r="B60" s="46" t="n">
        <v>9</v>
      </c>
      <c r="C60" s="46" t="n">
        <v>0.5</v>
      </c>
    </row>
    <row r="61">
      <c r="B61" s="46" t="n">
        <v>12</v>
      </c>
      <c r="C61" s="46" t="n">
        <v>0.45</v>
      </c>
    </row>
    <row r="62">
      <c r="B62" s="46" t="n">
        <v>16</v>
      </c>
      <c r="C62" s="46" t="n">
        <v>0.41</v>
      </c>
    </row>
    <row r="63">
      <c r="B63" s="46" t="n">
        <v>20</v>
      </c>
      <c r="C63" s="46" t="n">
        <v>0.38</v>
      </c>
    </row>
    <row r="66">
      <c r="B66" s="4" t="inlineStr">
        <is>
          <t>INTERRUPTORES TERMOMAGNÉTICOS NORMALIZADOS (A)</t>
        </is>
      </c>
    </row>
    <row r="67" ht="26" customHeight="1">
      <c r="B67" s="32" t="inlineStr">
        <is>
          <t>In (A)</t>
        </is>
      </c>
    </row>
    <row r="68">
      <c r="B68" s="46" t="n">
        <v>6</v>
      </c>
    </row>
    <row r="69">
      <c r="B69" s="46" t="n">
        <v>10</v>
      </c>
    </row>
    <row r="70">
      <c r="B70" s="46" t="n">
        <v>16</v>
      </c>
    </row>
    <row r="71">
      <c r="B71" s="46" t="n">
        <v>20</v>
      </c>
    </row>
    <row r="72">
      <c r="B72" s="46" t="n">
        <v>25</v>
      </c>
    </row>
    <row r="73">
      <c r="B73" s="46" t="n">
        <v>32</v>
      </c>
    </row>
    <row r="74">
      <c r="B74" s="46" t="n">
        <v>40</v>
      </c>
    </row>
    <row r="75">
      <c r="B75" s="46" t="n">
        <v>50</v>
      </c>
    </row>
    <row r="76">
      <c r="B76" s="46" t="n">
        <v>63</v>
      </c>
    </row>
    <row r="77">
      <c r="B77" s="46" t="n">
        <v>80</v>
      </c>
    </row>
    <row r="78">
      <c r="B78" s="46" t="n">
        <v>100</v>
      </c>
    </row>
    <row r="79">
      <c r="B79" s="46" t="n">
        <v>125</v>
      </c>
    </row>
    <row r="80">
      <c r="B80" s="46" t="n">
        <v>160</v>
      </c>
    </row>
    <row r="81">
      <c r="B81" s="46" t="n">
        <v>200</v>
      </c>
    </row>
    <row r="82">
      <c r="B82" s="46" t="n">
        <v>250</v>
      </c>
    </row>
    <row r="83">
      <c r="B83" s="46" t="n">
        <v>320</v>
      </c>
    </row>
    <row r="84">
      <c r="B84" s="46" t="n">
        <v>400</v>
      </c>
    </row>
    <row r="85">
      <c r="B85" s="46" t="n">
        <v>500</v>
      </c>
    </row>
    <row r="86">
      <c r="B86" s="46" t="n">
        <v>630</v>
      </c>
    </row>
    <row r="89">
      <c r="B89" s="4" t="inlineStr">
        <is>
          <t>TUBERÍA PVC-SAP · OCUPACIÓN MÁXIMA 40 % (tres o más conductores)</t>
        </is>
      </c>
    </row>
    <row r="90" ht="26" customHeight="1">
      <c r="B90" s="32" t="inlineStr">
        <is>
          <t>Ø nominal (mm)</t>
        </is>
      </c>
      <c r="C90" s="32" t="inlineStr">
        <is>
          <t>Ø interior (mm)</t>
        </is>
      </c>
      <c r="D90" s="32" t="inlineStr">
        <is>
          <t>40 % del área (mm²)</t>
        </is>
      </c>
    </row>
    <row r="91">
      <c r="B91" s="46" t="n">
        <v>20</v>
      </c>
      <c r="C91" s="46" t="n">
        <v>16.4</v>
      </c>
      <c r="D91" s="46" t="n">
        <v>84.5</v>
      </c>
    </row>
    <row r="92">
      <c r="B92" s="46" t="n">
        <v>25</v>
      </c>
      <c r="C92" s="46" t="n">
        <v>20.9</v>
      </c>
      <c r="D92" s="46" t="n">
        <v>137.2</v>
      </c>
    </row>
    <row r="93">
      <c r="B93" s="46" t="n">
        <v>35</v>
      </c>
      <c r="C93" s="46" t="n">
        <v>29.6</v>
      </c>
      <c r="D93" s="46" t="n">
        <v>275.3</v>
      </c>
    </row>
    <row r="94">
      <c r="B94" s="46" t="n">
        <v>40</v>
      </c>
      <c r="C94" s="46" t="n">
        <v>35.5</v>
      </c>
      <c r="D94" s="46" t="n">
        <v>395.9</v>
      </c>
    </row>
    <row r="95">
      <c r="B95" s="46" t="n">
        <v>50</v>
      </c>
      <c r="C95" s="46" t="n">
        <v>44.6</v>
      </c>
      <c r="D95" s="46" t="n">
        <v>624.9</v>
      </c>
    </row>
    <row r="96">
      <c r="B96" s="46" t="n">
        <v>65</v>
      </c>
      <c r="C96" s="46" t="n">
        <v>59</v>
      </c>
      <c r="D96" s="46" t="n">
        <v>1093.6</v>
      </c>
    </row>
    <row r="97">
      <c r="B97" s="46" t="n">
        <v>80</v>
      </c>
      <c r="C97" s="46" t="n">
        <v>71.59999999999999</v>
      </c>
      <c r="D97" s="46" t="n">
        <v>1610.6</v>
      </c>
    </row>
    <row r="98">
      <c r="B98" s="46" t="n">
        <v>100</v>
      </c>
      <c r="C98" s="46" t="n">
        <v>93</v>
      </c>
      <c r="D98" s="46" t="n">
        <v>2717.2</v>
      </c>
    </row>
    <row r="101">
      <c r="B101" s="4" t="inlineStr">
        <is>
          <t>SISTEMAS DE SUMINISTRO</t>
        </is>
      </c>
    </row>
    <row r="102">
      <c r="B102" s="3" t="inlineStr">
        <is>
          <t>I = P / (k·V·cos φ);  ΔV = k'·ρ·L·I·cos φ / S  (k' = 2 en monofásico y √3 en trifásico).</t>
        </is>
      </c>
    </row>
    <row r="103" ht="26" customHeight="1">
      <c r="B103" s="32" t="inlineStr">
        <is>
          <t>Sistema</t>
        </is>
      </c>
      <c r="C103" s="32" t="inlineStr">
        <is>
          <t>V (V)</t>
        </is>
      </c>
      <c r="D103" s="32" t="inlineStr">
        <is>
          <t>k</t>
        </is>
      </c>
      <c r="E103" s="32" t="inlineStr">
        <is>
          <t>k'</t>
        </is>
      </c>
      <c r="F103" s="32" t="inlineStr">
        <is>
          <t>Cargados</t>
        </is>
      </c>
      <c r="G103" s="32" t="inlineStr">
        <is>
          <t>Conductores activos</t>
        </is>
      </c>
    </row>
    <row r="104">
      <c r="B104" s="33" t="inlineStr">
        <is>
          <t>Monofásico 220 V</t>
        </is>
      </c>
      <c r="C104" s="46" t="n">
        <v>220</v>
      </c>
      <c r="D104" s="46" t="n">
        <v>1</v>
      </c>
      <c r="E104" s="46" t="n">
        <v>2</v>
      </c>
      <c r="F104" s="46" t="n">
        <v>2</v>
      </c>
      <c r="G104" s="46" t="n">
        <v>2</v>
      </c>
    </row>
    <row r="105">
      <c r="B105" s="33" t="inlineStr">
        <is>
          <t>Trifásico 380/220 V (4 hilos)</t>
        </is>
      </c>
      <c r="C105" s="46" t="n">
        <v>380</v>
      </c>
      <c r="D105" s="46" t="n">
        <v>1.732051</v>
      </c>
      <c r="E105" s="46" t="n">
        <v>1.732051</v>
      </c>
      <c r="F105" s="46" t="n">
        <v>3</v>
      </c>
      <c r="G105" s="46" t="n">
        <v>4</v>
      </c>
    </row>
    <row r="106">
      <c r="B106" s="33" t="inlineStr">
        <is>
          <t>Trifásico 220 V (3 hilos)</t>
        </is>
      </c>
      <c r="C106" s="46" t="n">
        <v>220</v>
      </c>
      <c r="D106" s="46" t="n">
        <v>1.732051</v>
      </c>
      <c r="E106" s="46" t="n">
        <v>1.732051</v>
      </c>
      <c r="F106" s="46" t="n">
        <v>3</v>
      </c>
      <c r="G106" s="46" t="n">
        <v>3</v>
      </c>
    </row>
    <row r="109">
      <c r="B109" s="4" t="inlineStr">
        <is>
          <t>TIPO DE TRAMO · LÍMITE DE CAÍDA DE TENSIÓN (CNE-U Regla 050-102)</t>
        </is>
      </c>
    </row>
    <row r="110">
      <c r="B110" s="3" t="inlineStr">
        <is>
          <t>050-102: 2.5 % en alimentadores y 2.5 % en circuitos derivados; 4 % en total, del medidor a la salida más lejana.</t>
        </is>
      </c>
    </row>
    <row r="111" ht="26" customHeight="1">
      <c r="B111" s="32" t="inlineStr">
        <is>
          <t>Tramo</t>
        </is>
      </c>
      <c r="C111" s="32" t="inlineStr">
        <is>
          <t>Límite (%)</t>
        </is>
      </c>
    </row>
    <row r="112">
      <c r="B112" s="33" t="inlineStr">
        <is>
          <t>Alimentador</t>
        </is>
      </c>
      <c r="C112" s="46" t="n">
        <v>2.5</v>
      </c>
    </row>
    <row r="113">
      <c r="B113" s="33" t="inlineStr">
        <is>
          <t>Circuito derivado</t>
        </is>
      </c>
      <c r="C113" s="46" t="n">
        <v>2.5</v>
      </c>
    </row>
    <row r="116">
      <c r="B116" s="4" t="inlineStr">
        <is>
          <t>TIPOS DE CONDUCTOR Y SECCIONES MÍNIMAS</t>
        </is>
      </c>
    </row>
    <row r="117" ht="26" customHeight="1">
      <c r="B117" s="32" t="inlineStr">
        <is>
          <t>Tipo</t>
        </is>
      </c>
    </row>
    <row r="118">
      <c r="B118" s="33" t="inlineStr">
        <is>
          <t>NH-80</t>
        </is>
      </c>
    </row>
    <row r="119">
      <c r="B119" s="33" t="inlineStr">
        <is>
          <t>THW-90</t>
        </is>
      </c>
    </row>
    <row r="120">
      <c r="B120" s="33" t="inlineStr">
        <is>
          <t>N2XOH</t>
        </is>
      </c>
    </row>
    <row r="123" ht="26" customHeight="1">
      <c r="B123" s="32" t="inlineStr">
        <is>
          <t>Sección mínima (mm²)</t>
        </is>
      </c>
    </row>
    <row r="124">
      <c r="B124" s="46" t="n">
        <v>1.5</v>
      </c>
    </row>
    <row r="125">
      <c r="B125" s="46" t="n">
        <v>2.5</v>
      </c>
    </row>
    <row r="126">
      <c r="B126" s="46" t="n">
        <v>4</v>
      </c>
    </row>
    <row r="127">
      <c r="B127" s="46" t="n">
        <v>6</v>
      </c>
    </row>
    <row r="128">
      <c r="B128" s="46" t="n">
        <v>10</v>
      </c>
    </row>
    <row r="129">
      <c r="B129" s="46" t="n">
        <v>16</v>
      </c>
    </row>
    <row r="132">
      <c r="B132" s="4" t="inlineStr">
        <is>
          <t>VARILLAS DE PUESTA A TIERRA · CNE-U REGLA 060-702(3)</t>
        </is>
      </c>
    </row>
    <row r="133">
      <c r="B133" s="3" t="inlineStr">
        <is>
          <t>060-702(3)(a): diámetro no inferior a 16 mm (5/8") en acero-cobre y 13 mm (1/2") en cobre; (b) longitud ≥ 2 m; (d) profundidad ≥ 2.5 m.</t>
        </is>
      </c>
    </row>
    <row r="134" ht="26" customHeight="1">
      <c r="B134" s="32" t="inlineStr">
        <is>
          <t>Varilla</t>
        </is>
      </c>
      <c r="C134" s="32" t="inlineStr">
        <is>
          <t>Diámetro (m)</t>
        </is>
      </c>
      <c r="D134" s="32" t="inlineStr">
        <is>
          <t>Material</t>
        </is>
      </c>
      <c r="E134" s="32" t="inlineStr">
        <is>
          <t>Ø mínimo (m)</t>
        </is>
      </c>
    </row>
    <row r="135">
      <c r="B135" s="33" t="inlineStr">
        <is>
          <t>Cobre Ø 5/8" (15.9 mm)</t>
        </is>
      </c>
      <c r="C135" s="70" t="n">
        <v>0.015875</v>
      </c>
      <c r="D135" s="46" t="inlineStr">
        <is>
          <t>Cobre</t>
        </is>
      </c>
      <c r="E135" s="70" t="n">
        <v>0.0127</v>
      </c>
    </row>
    <row r="136">
      <c r="B136" s="33" t="inlineStr">
        <is>
          <t>Cobre Ø 3/4" (19.1 mm)</t>
        </is>
      </c>
      <c r="C136" s="70" t="n">
        <v>0.01905</v>
      </c>
      <c r="D136" s="46" t="inlineStr">
        <is>
          <t>Cobre</t>
        </is>
      </c>
      <c r="E136" s="70" t="n">
        <v>0.0127</v>
      </c>
    </row>
    <row r="137">
      <c r="B137" s="33" t="inlineStr">
        <is>
          <t>Cobre Ø 1/2" (12.7 mm)</t>
        </is>
      </c>
      <c r="C137" s="70" t="n">
        <v>0.0127</v>
      </c>
      <c r="D137" s="46" t="inlineStr">
        <is>
          <t>Cobre</t>
        </is>
      </c>
      <c r="E137" s="70" t="n">
        <v>0.0127</v>
      </c>
    </row>
    <row r="138">
      <c r="B138" s="33" t="inlineStr">
        <is>
          <t>Acero recubierto de cobre Ø 5/8" (15.9 mm)</t>
        </is>
      </c>
      <c r="C138" s="70" t="n">
        <v>0.015875</v>
      </c>
      <c r="D138" s="46" t="inlineStr">
        <is>
          <t>Acero-cobre</t>
        </is>
      </c>
      <c r="E138" s="70" t="n">
        <v>0.015875</v>
      </c>
    </row>
    <row r="139">
      <c r="B139" s="33" t="inlineStr">
        <is>
          <t>Acero recubierto de cobre Ø 3/4" (19.1 mm)</t>
        </is>
      </c>
      <c r="C139" s="70" t="n">
        <v>0.01905</v>
      </c>
      <c r="D139" s="46" t="inlineStr">
        <is>
          <t>Acero-cobre</t>
        </is>
      </c>
      <c r="E139" s="70" t="n">
        <v>0.015875</v>
      </c>
    </row>
    <row r="140">
      <c r="B140" s="33" t="inlineStr">
        <is>
          <t>Acero recubierto de cobre Ø 1/2" (12.7 mm)</t>
        </is>
      </c>
      <c r="C140" s="70" t="n">
        <v>0.0127</v>
      </c>
      <c r="D140" s="46" t="inlineStr">
        <is>
          <t>Acero-cobre</t>
        </is>
      </c>
      <c r="E140" s="70" t="n">
        <v>0.015875</v>
      </c>
    </row>
    <row r="143">
      <c r="B143" s="4" t="inlineStr">
        <is>
          <t>RELLENOS Y TRATAMIENTOS DEL POZO · RESISTIVIDAD DEL RELLENO (REFERENCIAL)</t>
        </is>
      </c>
    </row>
    <row r="144">
      <c r="B144" s="3" t="inlineStr">
        <is>
          <t>Valores de referencia para el anteproyecto. Para el expediente use la resistividad que garantice el fabricante del producto que se especificará (fila «Relleno manual»).</t>
        </is>
      </c>
    </row>
    <row r="145" ht="26" customHeight="1">
      <c r="B145" s="32" t="inlineStr">
        <is>
          <t>Tratamiento</t>
        </is>
      </c>
      <c r="C145" s="32" t="inlineStr">
        <is>
          <t>ρ relleno (Ω·m)</t>
        </is>
      </c>
      <c r="D145" s="32" t="inlineStr">
        <is>
          <t>Dosis/m³</t>
        </is>
      </c>
      <c r="E145" s="32" t="inlineStr">
        <is>
          <t>Fuente o criterio</t>
        </is>
      </c>
      <c r="F145" s="71" t="n"/>
      <c r="G145" s="71" t="n"/>
      <c r="H145" s="71" t="n"/>
      <c r="I145" s="71" t="n"/>
      <c r="J145" s="71" t="n"/>
      <c r="K145" s="71" t="n"/>
      <c r="L145" s="71" t="n"/>
      <c r="M145" s="71" t="n"/>
      <c r="N145" s="71" t="n"/>
      <c r="O145" s="71" t="n"/>
      <c r="P145" s="72" t="n"/>
    </row>
    <row r="146">
      <c r="B146" s="33" t="inlineStr">
        <is>
          <t>Sin pozo: varilla hincada en terreno natural</t>
        </is>
      </c>
      <c r="C146" s="46" t="inlineStr"/>
      <c r="D146" s="46" t="n">
        <v>0</v>
      </c>
      <c r="E146" s="33" t="inlineStr">
        <is>
          <t>La varilla queda en contacto directo con el terreno.</t>
        </is>
      </c>
      <c r="F146" s="71" t="n"/>
      <c r="G146" s="71" t="n"/>
      <c r="H146" s="71" t="n"/>
      <c r="I146" s="71" t="n"/>
      <c r="J146" s="71" t="n"/>
      <c r="K146" s="71" t="n"/>
      <c r="L146" s="71" t="n"/>
      <c r="M146" s="71" t="n"/>
      <c r="N146" s="71" t="n"/>
      <c r="O146" s="71" t="n"/>
      <c r="P146" s="72" t="n"/>
    </row>
    <row r="147">
      <c r="B147" s="33" t="inlineStr">
        <is>
          <t>Tierra de cultivo cernida, sin aditivos</t>
        </is>
      </c>
      <c r="C147" s="46" t="n">
        <v>50</v>
      </c>
      <c r="D147" s="46" t="n">
        <v>0</v>
      </c>
      <c r="E147" s="33" t="inlineStr">
        <is>
          <t>Tierra de cultivo fértil ≈ 50 Ω·m (manual Thor-Gel).</t>
        </is>
      </c>
      <c r="F147" s="71" t="n"/>
      <c r="G147" s="71" t="n"/>
      <c r="H147" s="71" t="n"/>
      <c r="I147" s="71" t="n"/>
      <c r="J147" s="71" t="n"/>
      <c r="K147" s="71" t="n"/>
      <c r="L147" s="71" t="n"/>
      <c r="M147" s="71" t="n"/>
      <c r="N147" s="71" t="n"/>
      <c r="O147" s="71" t="n"/>
      <c r="P147" s="72" t="n"/>
    </row>
    <row r="148">
      <c r="B148" s="33" t="inlineStr">
        <is>
          <t>Tierra de cultivo + 1 dosis de gel químico por m³</t>
        </is>
      </c>
      <c r="C148" s="46" t="n">
        <v>10</v>
      </c>
      <c r="D148" s="46" t="n">
        <v>1</v>
      </c>
      <c r="E148" s="33" t="inlineStr">
        <is>
          <t>Fabricante: reducción de 80 % (1 dosis/m³) sobre 50 Ω·m.</t>
        </is>
      </c>
      <c r="F148" s="71" t="n"/>
      <c r="G148" s="71" t="n"/>
      <c r="H148" s="71" t="n"/>
      <c r="I148" s="71" t="n"/>
      <c r="J148" s="71" t="n"/>
      <c r="K148" s="71" t="n"/>
      <c r="L148" s="71" t="n"/>
      <c r="M148" s="71" t="n"/>
      <c r="N148" s="71" t="n"/>
      <c r="O148" s="71" t="n"/>
      <c r="P148" s="72" t="n"/>
    </row>
    <row r="149">
      <c r="B149" s="33" t="inlineStr">
        <is>
          <t>Tierra de cultivo + 2 dosis de gel químico por m³</t>
        </is>
      </c>
      <c r="C149" s="46" t="n">
        <v>7.5</v>
      </c>
      <c r="D149" s="46" t="n">
        <v>2</v>
      </c>
      <c r="E149" s="33" t="inlineStr">
        <is>
          <t>Fabricante: reducción de 85 % (2 dosis/m³) sobre 50 Ω·m.</t>
        </is>
      </c>
      <c r="F149" s="71" t="n"/>
      <c r="G149" s="71" t="n"/>
      <c r="H149" s="71" t="n"/>
      <c r="I149" s="71" t="n"/>
      <c r="J149" s="71" t="n"/>
      <c r="K149" s="71" t="n"/>
      <c r="L149" s="71" t="n"/>
      <c r="M149" s="71" t="n"/>
      <c r="N149" s="71" t="n"/>
      <c r="O149" s="71" t="n"/>
      <c r="P149" s="72" t="n"/>
    </row>
    <row r="150">
      <c r="B150" s="33" t="inlineStr">
        <is>
          <t>Tierra de cultivo + 3 dosis de gel químico por m³</t>
        </is>
      </c>
      <c r="C150" s="46" t="n">
        <v>5</v>
      </c>
      <c r="D150" s="46" t="n">
        <v>3</v>
      </c>
      <c r="E150" s="33" t="inlineStr">
        <is>
          <t>Fabricante: reducción de 90 % (3 dosis/m³) sobre 50 Ω·m.</t>
        </is>
      </c>
      <c r="F150" s="71" t="n"/>
      <c r="G150" s="71" t="n"/>
      <c r="H150" s="71" t="n"/>
      <c r="I150" s="71" t="n"/>
      <c r="J150" s="71" t="n"/>
      <c r="K150" s="71" t="n"/>
      <c r="L150" s="71" t="n"/>
      <c r="M150" s="71" t="n"/>
      <c r="N150" s="71" t="n"/>
      <c r="O150" s="71" t="n"/>
      <c r="P150" s="72" t="n"/>
    </row>
    <row r="151">
      <c r="B151" s="33" t="inlineStr">
        <is>
          <t>Tierra de cultivo + bentonita sódica</t>
        </is>
      </c>
      <c r="C151" s="46" t="n">
        <v>5</v>
      </c>
      <c r="D151" s="46" t="n">
        <v>0</v>
      </c>
      <c r="E151" s="33" t="inlineStr">
        <is>
          <t>Bentonita saturada ≈ 2.5 Ω·m; se adopta 5 Ω·m para la mezcla (criterio).</t>
        </is>
      </c>
      <c r="F151" s="71" t="n"/>
      <c r="G151" s="71" t="n"/>
      <c r="H151" s="71" t="n"/>
      <c r="I151" s="71" t="n"/>
      <c r="J151" s="71" t="n"/>
      <c r="K151" s="71" t="n"/>
      <c r="L151" s="71" t="n"/>
      <c r="M151" s="71" t="n"/>
      <c r="N151" s="71" t="n"/>
      <c r="O151" s="71" t="n"/>
      <c r="P151" s="72" t="n"/>
    </row>
    <row r="152">
      <c r="B152" s="33" t="inlineStr">
        <is>
          <t>Cemento conductivo / relleno a base de carbono</t>
        </is>
      </c>
      <c r="C152" s="46" t="n">
        <v>0.5</v>
      </c>
      <c r="D152" s="46" t="n">
        <v>0</v>
      </c>
      <c r="E152" s="33" t="inlineStr">
        <is>
          <t>Rellenos de carbono 0.1–0.5 Ω·m (literatura técnica); se adopta 0.5.</t>
        </is>
      </c>
      <c r="F152" s="71" t="n"/>
      <c r="G152" s="71" t="n"/>
      <c r="H152" s="71" t="n"/>
      <c r="I152" s="71" t="n"/>
      <c r="J152" s="71" t="n"/>
      <c r="K152" s="71" t="n"/>
      <c r="L152" s="71" t="n"/>
      <c r="M152" s="71" t="n"/>
      <c r="N152" s="71" t="n"/>
      <c r="O152" s="71" t="n"/>
      <c r="P152" s="72" t="n"/>
    </row>
    <row r="153">
      <c r="B153" s="33" t="inlineStr">
        <is>
          <t>Relleno manual (ingresar ρ del fabricante)</t>
        </is>
      </c>
      <c r="C153" s="46" t="inlineStr"/>
      <c r="D153" s="46" t="n">
        <v>0</v>
      </c>
      <c r="E153" s="33" t="inlineStr">
        <is>
          <t>Ingrese la resistividad del relleno en la celda indicada.</t>
        </is>
      </c>
      <c r="F153" s="71" t="n"/>
      <c r="G153" s="71" t="n"/>
      <c r="H153" s="71" t="n"/>
      <c r="I153" s="71" t="n"/>
      <c r="J153" s="71" t="n"/>
      <c r="K153" s="71" t="n"/>
      <c r="L153" s="71" t="n"/>
      <c r="M153" s="71" t="n"/>
      <c r="N153" s="71" t="n"/>
      <c r="O153" s="71" t="n"/>
      <c r="P153" s="72" t="n"/>
    </row>
    <row r="156">
      <c r="B156" s="4" t="inlineStr">
        <is>
          <t>RESISTENCIA DE PUESTA A TIERRA OBJETIVO</t>
        </is>
      </c>
    </row>
    <row r="157" ht="26" customHeight="1">
      <c r="B157" s="32" t="inlineStr">
        <is>
          <t>Uso</t>
        </is>
      </c>
      <c r="C157" s="32" t="inlineStr">
        <is>
          <t>R máx. (Ω)</t>
        </is>
      </c>
      <c r="D157" s="32" t="inlineStr">
        <is>
          <t>Referencia</t>
        </is>
      </c>
      <c r="E157" s="71" t="n"/>
      <c r="F157" s="71" t="n"/>
      <c r="G157" s="71" t="n"/>
      <c r="H157" s="71" t="n"/>
      <c r="I157" s="71" t="n"/>
      <c r="J157" s="71" t="n"/>
      <c r="K157" s="71" t="n"/>
      <c r="L157" s="71" t="n"/>
      <c r="M157" s="71" t="n"/>
      <c r="N157" s="71" t="n"/>
      <c r="O157" s="71" t="n"/>
      <c r="P157" s="72" t="n"/>
    </row>
    <row r="158">
      <c r="B158" s="33" t="inlineStr">
        <is>
          <t>Instalaciones interiores en general (CNE-U 060-712)</t>
        </is>
      </c>
      <c r="C158" s="46" t="n">
        <v>25</v>
      </c>
      <c r="D158" s="33" t="inlineStr">
        <is>
          <t>CNE-U Regla 060-712: no mayor de 25 Ω</t>
        </is>
      </c>
      <c r="E158" s="71" t="n"/>
      <c r="F158" s="71" t="n"/>
      <c r="G158" s="71" t="n"/>
      <c r="H158" s="71" t="n"/>
      <c r="I158" s="71" t="n"/>
      <c r="J158" s="71" t="n"/>
      <c r="K158" s="71" t="n"/>
      <c r="L158" s="71" t="n"/>
      <c r="M158" s="71" t="n"/>
      <c r="N158" s="71" t="n"/>
      <c r="O158" s="71" t="n"/>
      <c r="P158" s="72" t="n"/>
    </row>
    <row r="159">
      <c r="B159" s="33" t="inlineStr">
        <is>
          <t>Subestación de distribución trifásica o bifásica</t>
        </is>
      </c>
      <c r="C159" s="46" t="n">
        <v>25</v>
      </c>
      <c r="D159" s="33" t="inlineStr">
        <is>
          <t>MEM/DEP-501 (R.D. 018-2003-EM/DGE) §11.4</t>
        </is>
      </c>
      <c r="E159" s="71" t="n"/>
      <c r="F159" s="71" t="n"/>
      <c r="G159" s="71" t="n"/>
      <c r="H159" s="71" t="n"/>
      <c r="I159" s="71" t="n"/>
      <c r="J159" s="71" t="n"/>
      <c r="K159" s="71" t="n"/>
      <c r="L159" s="71" t="n"/>
      <c r="M159" s="71" t="n"/>
      <c r="N159" s="71" t="n"/>
      <c r="O159" s="71" t="n"/>
      <c r="P159" s="72" t="n"/>
    </row>
    <row r="160">
      <c r="B160" s="33" t="inlineStr">
        <is>
          <t>Pararrayos / sistema de protección contra rayos</t>
        </is>
      </c>
      <c r="C160" s="46" t="n">
        <v>10</v>
      </c>
      <c r="D160" s="33" t="inlineStr">
        <is>
          <t>IEC 62305-3 recomienda ≤ 10 Ω</t>
        </is>
      </c>
      <c r="E160" s="71" t="n"/>
      <c r="F160" s="71" t="n"/>
      <c r="G160" s="71" t="n"/>
      <c r="H160" s="71" t="n"/>
      <c r="I160" s="71" t="n"/>
      <c r="J160" s="71" t="n"/>
      <c r="K160" s="71" t="n"/>
      <c r="L160" s="71" t="n"/>
      <c r="M160" s="71" t="n"/>
      <c r="N160" s="71" t="n"/>
      <c r="O160" s="71" t="n"/>
      <c r="P160" s="72" t="n"/>
    </row>
    <row r="161">
      <c r="B161" s="33" t="inlineStr">
        <is>
          <t>Sistemas de cómputo, telecomunicaciones y equipos electrónicos</t>
        </is>
      </c>
      <c r="C161" s="46" t="n">
        <v>5</v>
      </c>
      <c r="D161" s="33" t="inlineStr">
        <is>
          <t>Práctica recomendada (IEEE 142); verifique la especificación del equipo</t>
        </is>
      </c>
      <c r="E161" s="71" t="n"/>
      <c r="F161" s="71" t="n"/>
      <c r="G161" s="71" t="n"/>
      <c r="H161" s="71" t="n"/>
      <c r="I161" s="71" t="n"/>
      <c r="J161" s="71" t="n"/>
      <c r="K161" s="71" t="n"/>
      <c r="L161" s="71" t="n"/>
      <c r="M161" s="71" t="n"/>
      <c r="N161" s="71" t="n"/>
      <c r="O161" s="71" t="n"/>
      <c r="P161" s="72" t="n"/>
    </row>
    <row r="162">
      <c r="B162" s="33" t="inlineStr">
        <is>
          <t>Valor del proyectista (ingresar)</t>
        </is>
      </c>
      <c r="C162" s="46" t="inlineStr"/>
      <c r="D162" s="33" t="inlineStr">
        <is>
          <t>Criterio del proyectista</t>
        </is>
      </c>
      <c r="E162" s="71" t="n"/>
      <c r="F162" s="71" t="n"/>
      <c r="G162" s="71" t="n"/>
      <c r="H162" s="71" t="n"/>
      <c r="I162" s="71" t="n"/>
      <c r="J162" s="71" t="n"/>
      <c r="K162" s="71" t="n"/>
      <c r="L162" s="71" t="n"/>
      <c r="M162" s="71" t="n"/>
      <c r="N162" s="71" t="n"/>
      <c r="O162" s="71" t="n"/>
      <c r="P162" s="72" t="n"/>
    </row>
    <row r="165">
      <c r="B165" s="4" t="inlineStr">
        <is>
          <t>FACTOR λ PARA VARILLAS EN PARALELO · BS 7430:1998, CLÁUSULA 10.2</t>
        </is>
      </c>
    </row>
    <row r="166">
      <c r="B166" s="3" t="inlineStr">
        <is>
          <t>Rn = R1·(1 + λ·α)/n con α = ρ/(2π·R1·s). Válido si la separación s no es menor que la longitud de la varilla. Tabla 2: en línea recta (3 varillas en triángulo o en L: λ = 1.66). Tabla 3: en cuadrado hueco.</t>
        </is>
      </c>
    </row>
    <row r="167" ht="26" customHeight="1">
      <c r="B167" s="32" t="inlineStr">
        <is>
          <t>N.° de varillas en línea</t>
        </is>
      </c>
      <c r="C167" s="32" t="inlineStr">
        <is>
          <t>λ</t>
        </is>
      </c>
    </row>
    <row r="168">
      <c r="B168" s="46" t="n">
        <v>1</v>
      </c>
      <c r="C168" s="46" t="n">
        <v>0</v>
      </c>
    </row>
    <row r="169">
      <c r="B169" s="46" t="n">
        <v>2</v>
      </c>
      <c r="C169" s="46" t="n">
        <v>1</v>
      </c>
    </row>
    <row r="170">
      <c r="B170" s="46" t="n">
        <v>3</v>
      </c>
      <c r="C170" s="46" t="n">
        <v>1.66</v>
      </c>
    </row>
    <row r="171">
      <c r="B171" s="46" t="n">
        <v>4</v>
      </c>
      <c r="C171" s="46" t="n">
        <v>2.15</v>
      </c>
    </row>
    <row r="172">
      <c r="B172" s="46" t="n">
        <v>5</v>
      </c>
      <c r="C172" s="46" t="n">
        <v>2.54</v>
      </c>
    </row>
    <row r="173">
      <c r="B173" s="46" t="n">
        <v>6</v>
      </c>
      <c r="C173" s="46" t="n">
        <v>2.87</v>
      </c>
    </row>
    <row r="174">
      <c r="B174" s="46" t="n">
        <v>7</v>
      </c>
      <c r="C174" s="46" t="n">
        <v>3.15</v>
      </c>
    </row>
    <row r="175">
      <c r="B175" s="46" t="n">
        <v>8</v>
      </c>
      <c r="C175" s="46" t="n">
        <v>3.39</v>
      </c>
    </row>
    <row r="176">
      <c r="B176" s="46" t="n">
        <v>9</v>
      </c>
      <c r="C176" s="46" t="n">
        <v>3.61</v>
      </c>
    </row>
    <row r="177">
      <c r="B177" s="46" t="n">
        <v>10</v>
      </c>
      <c r="C177" s="46" t="n">
        <v>3.81</v>
      </c>
    </row>
    <row r="180" ht="26" customHeight="1">
      <c r="B180" s="32" t="inlineStr">
        <is>
          <t>N.° total de varillas en cuadrado hueco</t>
        </is>
      </c>
      <c r="C180" s="32" t="inlineStr">
        <is>
          <t>λ</t>
        </is>
      </c>
    </row>
    <row r="181">
      <c r="B181" s="46" t="n">
        <v>4</v>
      </c>
      <c r="C181" s="46" t="n">
        <v>2.71</v>
      </c>
    </row>
    <row r="182">
      <c r="B182" s="46" t="n">
        <v>8</v>
      </c>
      <c r="C182" s="46" t="n">
        <v>4.51</v>
      </c>
    </row>
    <row r="183">
      <c r="B183" s="46" t="n">
        <v>12</v>
      </c>
      <c r="C183" s="46" t="n">
        <v>5.48</v>
      </c>
    </row>
    <row r="184">
      <c r="B184" s="46" t="n">
        <v>16</v>
      </c>
      <c r="C184" s="46" t="n">
        <v>6.14</v>
      </c>
    </row>
    <row r="185">
      <c r="B185" s="46" t="n">
        <v>20</v>
      </c>
      <c r="C185" s="46" t="n">
        <v>6.63</v>
      </c>
    </row>
    <row r="186">
      <c r="B186" s="46" t="n">
        <v>24</v>
      </c>
      <c r="C186" s="46" t="n">
        <v>7.03</v>
      </c>
    </row>
    <row r="187">
      <c r="B187" s="46" t="n">
        <v>28</v>
      </c>
      <c r="C187" s="46" t="n">
        <v>7.36</v>
      </c>
    </row>
    <row r="188">
      <c r="B188" s="46" t="n">
        <v>32</v>
      </c>
      <c r="C188" s="46" t="n">
        <v>7.65</v>
      </c>
    </row>
    <row r="189">
      <c r="B189" s="46" t="n">
        <v>36</v>
      </c>
      <c r="C189" s="46" t="n">
        <v>7.9</v>
      </c>
    </row>
    <row r="192">
      <c r="B192" s="4" t="inlineStr">
        <is>
          <t>CNE-U TABLA 17 (Reglas 060-204, 060-206 y 060-812) · SECCIÓN MÍNIMA DE CONDUCTORES DE TIERRA PARA SISTEMAS DE CORRIENTE ALTERNA O CONDUCTORES DE TIERRA COMUNES</t>
        </is>
      </c>
    </row>
    <row r="193">
      <c r="B193" s="3" t="inlineStr">
        <is>
          <t>Nota de la tabla: la capacidad de conducción del conductor más grande de la acometida, o el equivalente si se usan conductores múltiples, se determina con la tabla apropiada del Código, considerando la cantidad de conductores en la tubería y el tipo de aislamiento.</t>
        </is>
      </c>
    </row>
    <row r="194" ht="26" customHeight="1">
      <c r="B194" s="32" t="inlineStr">
        <is>
          <t>Capacidad de conducción del conductor de acometida de mayor sección, hasta (A)</t>
        </is>
      </c>
      <c r="C194" s="32" t="inlineStr">
        <is>
          <t>Sección del conductor de cobre de puesta a tierra (mm²)</t>
        </is>
      </c>
      <c r="D194" s="32" t="inlineStr">
        <is>
          <t>Rango de la norma</t>
        </is>
      </c>
    </row>
    <row r="195">
      <c r="B195" s="46" t="n">
        <v>100</v>
      </c>
      <c r="C195" s="46" t="n">
        <v>10</v>
      </c>
      <c r="D195" s="46" t="inlineStr">
        <is>
          <t>100 o menos</t>
        </is>
      </c>
    </row>
    <row r="196">
      <c r="B196" s="46" t="n">
        <v>125</v>
      </c>
      <c r="C196" s="46" t="n">
        <v>16</v>
      </c>
      <c r="D196" s="46" t="inlineStr">
        <is>
          <t>101 a 125</t>
        </is>
      </c>
    </row>
    <row r="197">
      <c r="B197" s="46" t="n">
        <v>165</v>
      </c>
      <c r="C197" s="46" t="n">
        <v>25</v>
      </c>
      <c r="D197" s="46" t="inlineStr">
        <is>
          <t>126 a 165</t>
        </is>
      </c>
    </row>
    <row r="198">
      <c r="B198" s="46" t="n">
        <v>200</v>
      </c>
      <c r="C198" s="46" t="n">
        <v>25</v>
      </c>
      <c r="D198" s="46" t="inlineStr">
        <is>
          <t>166 a 200</t>
        </is>
      </c>
    </row>
    <row r="199">
      <c r="B199" s="46" t="n">
        <v>260</v>
      </c>
      <c r="C199" s="46" t="n">
        <v>35</v>
      </c>
      <c r="D199" s="46" t="inlineStr">
        <is>
          <t>201 a 260</t>
        </is>
      </c>
    </row>
    <row r="200">
      <c r="B200" s="46" t="n">
        <v>355</v>
      </c>
      <c r="C200" s="46" t="n">
        <v>50</v>
      </c>
      <c r="D200" s="46" t="inlineStr">
        <is>
          <t>261 a 355</t>
        </is>
      </c>
    </row>
    <row r="201">
      <c r="B201" s="46" t="n">
        <v>475</v>
      </c>
      <c r="C201" s="46" t="n">
        <v>70</v>
      </c>
      <c r="D201" s="46" t="inlineStr">
        <is>
          <t>356 a 475</t>
        </is>
      </c>
    </row>
    <row r="202">
      <c r="B202" s="46" t="n">
        <v>100000</v>
      </c>
      <c r="C202" s="46" t="n">
        <v>95</v>
      </c>
      <c r="D202" s="46" t="inlineStr">
        <is>
          <t>Sobre 475</t>
        </is>
      </c>
    </row>
    <row r="205">
      <c r="B205" s="4" t="inlineStr">
        <is>
          <t>FACTOR DE MANTENIMIENTO (EM.010 Art. 5.8 y 6.5: el proyectista lo establece y anota sus supuestos)</t>
        </is>
      </c>
    </row>
    <row r="206" ht="26" customHeight="1">
      <c r="B206" s="32" t="inlineStr">
        <is>
          <t>Condición</t>
        </is>
      </c>
      <c r="C206" s="32" t="inlineStr">
        <is>
          <t>FM</t>
        </is>
      </c>
    </row>
    <row r="207">
      <c r="B207" s="33" t="inlineStr">
        <is>
          <t>Ambiente limpio, LED, limpieza anual (oficinas, aulas, salud)</t>
        </is>
      </c>
      <c r="C207" s="46" t="n">
        <v>0.8</v>
      </c>
    </row>
    <row r="208">
      <c r="B208" s="33" t="inlineStr">
        <is>
          <t>Ambiente normal, limpieza cada 2 años (viviendas, comercio)</t>
        </is>
      </c>
      <c r="C208" s="46" t="n">
        <v>0.7</v>
      </c>
    </row>
    <row r="209">
      <c r="B209" s="33" t="inlineStr">
        <is>
          <t>Ambiente sucio o industrial, limpieza cada 3 años</t>
        </is>
      </c>
      <c r="C209" s="46" t="n">
        <v>0.6</v>
      </c>
    </row>
    <row r="210">
      <c r="B210" s="33" t="inlineStr">
        <is>
          <t>Valor del proyectista (ingresar)</t>
        </is>
      </c>
      <c r="C210" s="46" t="inlineStr"/>
    </row>
    <row r="213">
      <c r="B213" s="4" t="inlineStr">
        <is>
          <t>CATÁLOGO DE LUMINARIAS (VALORES TÍPICOS: REEMPLÁCELOS POR LOS DEL FABRICANTE)</t>
        </is>
      </c>
    </row>
    <row r="214">
      <c r="B214" s="3" t="inlineStr">
        <is>
          <t>Flujo luminoso de la luminaria completa (lm), potencia (W) e índice de reproducción cromática Ra. Distribución: 1 difusa, 2 concentrada.</t>
        </is>
      </c>
    </row>
    <row r="215" ht="26" customHeight="1">
      <c r="B215" s="32" t="inlineStr">
        <is>
          <t>Luminaria</t>
        </is>
      </c>
      <c r="C215" s="32" t="inlineStr">
        <is>
          <t>Distribución</t>
        </is>
      </c>
      <c r="D215" s="32" t="inlineStr">
        <is>
          <t>Flujo (lm)</t>
        </is>
      </c>
      <c r="E215" s="32" t="inlineStr">
        <is>
          <t>Potencia (W)</t>
        </is>
      </c>
      <c r="F215" s="32" t="inlineStr">
        <is>
          <t>Ra</t>
        </is>
      </c>
    </row>
    <row r="216">
      <c r="B216" s="33" t="inlineStr">
        <is>
          <t>Panel LED 60×60 cm, 40 W</t>
        </is>
      </c>
      <c r="C216" s="46" t="n">
        <v>1</v>
      </c>
      <c r="D216" s="46" t="n">
        <v>4000</v>
      </c>
      <c r="E216" s="46" t="n">
        <v>40</v>
      </c>
      <c r="F216" s="46" t="n">
        <v>80</v>
      </c>
    </row>
    <row r="217">
      <c r="B217" s="33" t="inlineStr">
        <is>
          <t>Panel LED 30×120 cm, 40 W</t>
        </is>
      </c>
      <c r="C217" s="46" t="n">
        <v>1</v>
      </c>
      <c r="D217" s="46" t="n">
        <v>4000</v>
      </c>
      <c r="E217" s="46" t="n">
        <v>40</v>
      </c>
      <c r="F217" s="46" t="n">
        <v>80</v>
      </c>
    </row>
    <row r="218">
      <c r="B218" s="33" t="inlineStr">
        <is>
          <t>Panel LED 60×60 cm, 36 W (alta eficiencia)</t>
        </is>
      </c>
      <c r="C218" s="46" t="n">
        <v>1</v>
      </c>
      <c r="D218" s="46" t="n">
        <v>4300</v>
      </c>
      <c r="E218" s="46" t="n">
        <v>36</v>
      </c>
      <c r="F218" s="46" t="n">
        <v>80</v>
      </c>
    </row>
    <row r="219">
      <c r="B219" s="33" t="inlineStr">
        <is>
          <t>Luminaria hermética 2×18 W LED (T8)</t>
        </is>
      </c>
      <c r="C219" s="46" t="n">
        <v>1</v>
      </c>
      <c r="D219" s="46" t="n">
        <v>3600</v>
      </c>
      <c r="E219" s="46" t="n">
        <v>36</v>
      </c>
      <c r="F219" s="46" t="n">
        <v>80</v>
      </c>
    </row>
    <row r="220">
      <c r="B220" s="33" t="inlineStr">
        <is>
          <t>Plafón LED 24 W</t>
        </is>
      </c>
      <c r="C220" s="46" t="n">
        <v>1</v>
      </c>
      <c r="D220" s="46" t="n">
        <v>2200</v>
      </c>
      <c r="E220" s="46" t="n">
        <v>24</v>
      </c>
      <c r="F220" s="46" t="n">
        <v>80</v>
      </c>
    </row>
    <row r="221">
      <c r="B221" s="33" t="inlineStr">
        <is>
          <t>Plafón LED 18 W</t>
        </is>
      </c>
      <c r="C221" s="46" t="n">
        <v>1</v>
      </c>
      <c r="D221" s="46" t="n">
        <v>1600</v>
      </c>
      <c r="E221" s="46" t="n">
        <v>18</v>
      </c>
      <c r="F221" s="46" t="n">
        <v>80</v>
      </c>
    </row>
    <row r="222">
      <c r="B222" s="33" t="inlineStr">
        <is>
          <t>Downlight LED 18 W</t>
        </is>
      </c>
      <c r="C222" s="46" t="n">
        <v>2</v>
      </c>
      <c r="D222" s="46" t="n">
        <v>1600</v>
      </c>
      <c r="E222" s="46" t="n">
        <v>18</v>
      </c>
      <c r="F222" s="46" t="n">
        <v>80</v>
      </c>
    </row>
    <row r="223">
      <c r="B223" s="33" t="inlineStr">
        <is>
          <t>Downlight LED 12 W</t>
        </is>
      </c>
      <c r="C223" s="46" t="n">
        <v>2</v>
      </c>
      <c r="D223" s="46" t="n">
        <v>1000</v>
      </c>
      <c r="E223" s="46" t="n">
        <v>12</v>
      </c>
      <c r="F223" s="46" t="n">
        <v>80</v>
      </c>
    </row>
    <row r="224">
      <c r="B224" s="33" t="inlineStr">
        <is>
          <t>Plafón LED 12 W</t>
        </is>
      </c>
      <c r="C224" s="46" t="n">
        <v>1</v>
      </c>
      <c r="D224" s="46" t="n">
        <v>1100</v>
      </c>
      <c r="E224" s="46" t="n">
        <v>12</v>
      </c>
      <c r="F224" s="46" t="n">
        <v>80</v>
      </c>
    </row>
    <row r="225">
      <c r="B225" s="33" t="inlineStr">
        <is>
          <t>Campana LED 100 W</t>
        </is>
      </c>
      <c r="C225" s="46" t="n">
        <v>2</v>
      </c>
      <c r="D225" s="46" t="n">
        <v>13000</v>
      </c>
      <c r="E225" s="46" t="n">
        <v>100</v>
      </c>
      <c r="F225" s="46" t="n">
        <v>70</v>
      </c>
    </row>
    <row r="226">
      <c r="B226" s="33" t="inlineStr">
        <is>
          <t>Campana LED 150 W</t>
        </is>
      </c>
      <c r="C226" s="46" t="n">
        <v>2</v>
      </c>
      <c r="D226" s="46" t="n">
        <v>19500</v>
      </c>
      <c r="E226" s="46" t="n">
        <v>150</v>
      </c>
      <c r="F226" s="46" t="n">
        <v>70</v>
      </c>
    </row>
    <row r="227">
      <c r="B227" s="33" t="inlineStr">
        <is>
          <t>Luminaria del proyecto (editar)</t>
        </is>
      </c>
      <c r="C227" s="46" t="n">
        <v>1</v>
      </c>
      <c r="D227" s="46" t="n">
        <v>3000</v>
      </c>
      <c r="E227" s="46" t="n">
        <v>30</v>
      </c>
      <c r="F227" s="46" t="n">
        <v>80</v>
      </c>
    </row>
    <row r="230">
      <c r="B230" s="4" t="inlineStr">
        <is>
          <t>FACTOR DE UTILIZACIÓN CU GENÉRICO (REFERENCIAL) · MÉTODO DE CAVIDADES</t>
        </is>
      </c>
    </row>
    <row r="231">
      <c r="B231" s="3" t="inlineStr">
        <is>
          <t>Calculado por ALF_BIM con radiosidad de 3 superficies (techo, paredes, plano de trabajo) en local cuadrado, luminarias repartidas en el techo con I(θ) proporcional a cos θ (difusa) o a cos³ θ (concentrada); flujo = flujo de la luminaria. Use el CU del fabricante cuando lo tenga.</t>
        </is>
      </c>
    </row>
    <row r="232" ht="26" customHeight="1">
      <c r="B232" s="32" t="inlineStr">
        <is>
          <t>Distribución · techo / paredes / suelo</t>
        </is>
      </c>
      <c r="C232" s="32" t="inlineStr">
        <is>
          <t>K=0.3</t>
        </is>
      </c>
      <c r="D232" s="32" t="inlineStr">
        <is>
          <t>K=0.4</t>
        </is>
      </c>
      <c r="E232" s="32" t="inlineStr">
        <is>
          <t>K=0.5</t>
        </is>
      </c>
      <c r="F232" s="32" t="inlineStr">
        <is>
          <t>K=0.6</t>
        </is>
      </c>
      <c r="G232" s="32" t="inlineStr">
        <is>
          <t>K=0.8</t>
        </is>
      </c>
      <c r="H232" s="32" t="inlineStr">
        <is>
          <t>K=1</t>
        </is>
      </c>
      <c r="I232" s="32" t="inlineStr">
        <is>
          <t>K=1.25</t>
        </is>
      </c>
      <c r="J232" s="32" t="inlineStr">
        <is>
          <t>K=1.5</t>
        </is>
      </c>
      <c r="K232" s="32" t="inlineStr">
        <is>
          <t>K=2</t>
        </is>
      </c>
      <c r="L232" s="32" t="inlineStr">
        <is>
          <t>K=2.5</t>
        </is>
      </c>
      <c r="M232" s="32" t="inlineStr">
        <is>
          <t>K=3</t>
        </is>
      </c>
      <c r="N232" s="32" t="inlineStr">
        <is>
          <t>K=4</t>
        </is>
      </c>
      <c r="O232" s="32" t="inlineStr">
        <is>
          <t>K=5</t>
        </is>
      </c>
    </row>
    <row r="233">
      <c r="B233" s="33" t="inlineStr">
        <is>
          <t>Difusa · 0.8 / 0.5 / 0.3</t>
        </is>
      </c>
      <c r="C233" s="46" t="n">
        <v>0.21</v>
      </c>
      <c r="D233" s="46" t="n">
        <v>0.29</v>
      </c>
      <c r="E233" s="46" t="n">
        <v>0.37</v>
      </c>
      <c r="F233" s="46" t="n">
        <v>0.44</v>
      </c>
      <c r="G233" s="46" t="n">
        <v>0.55</v>
      </c>
      <c r="H233" s="46" t="n">
        <v>0.64</v>
      </c>
      <c r="I233" s="46" t="n">
        <v>0.73</v>
      </c>
      <c r="J233" s="46" t="n">
        <v>0.8</v>
      </c>
      <c r="K233" s="46" t="n">
        <v>0.89</v>
      </c>
      <c r="L233" s="46" t="n">
        <v>0.96</v>
      </c>
      <c r="M233" s="46" t="n">
        <v>1.01</v>
      </c>
      <c r="N233" s="46" t="n">
        <v>1.08</v>
      </c>
      <c r="O233" s="46" t="n">
        <v>1.12</v>
      </c>
    </row>
    <row r="234">
      <c r="B234" s="33" t="inlineStr">
        <is>
          <t>Difusa · 0.8 / 0.5 / 0.2</t>
        </is>
      </c>
      <c r="C234" s="46" t="n">
        <v>0.21</v>
      </c>
      <c r="D234" s="46" t="n">
        <v>0.29</v>
      </c>
      <c r="E234" s="46" t="n">
        <v>0.36</v>
      </c>
      <c r="F234" s="46" t="n">
        <v>0.42</v>
      </c>
      <c r="G234" s="46" t="n">
        <v>0.53</v>
      </c>
      <c r="H234" s="46" t="n">
        <v>0.62</v>
      </c>
      <c r="I234" s="46" t="n">
        <v>0.7</v>
      </c>
      <c r="J234" s="46" t="n">
        <v>0.76</v>
      </c>
      <c r="K234" s="46" t="n">
        <v>0.84</v>
      </c>
      <c r="L234" s="46" t="n">
        <v>0.9</v>
      </c>
      <c r="M234" s="46" t="n">
        <v>0.9399999999999999</v>
      </c>
      <c r="N234" s="46" t="n">
        <v>1</v>
      </c>
      <c r="O234" s="46" t="n">
        <v>1.03</v>
      </c>
    </row>
    <row r="235">
      <c r="B235" s="33" t="inlineStr">
        <is>
          <t>Difusa · 0.7 / 0.5 / 0.2</t>
        </is>
      </c>
      <c r="C235" s="46" t="n">
        <v>0.21</v>
      </c>
      <c r="D235" s="46" t="n">
        <v>0.28</v>
      </c>
      <c r="E235" s="46" t="n">
        <v>0.35</v>
      </c>
      <c r="F235" s="46" t="n">
        <v>0.42</v>
      </c>
      <c r="G235" s="46" t="n">
        <v>0.52</v>
      </c>
      <c r="H235" s="46" t="n">
        <v>0.6</v>
      </c>
      <c r="I235" s="46" t="n">
        <v>0.68</v>
      </c>
      <c r="J235" s="46" t="n">
        <v>0.74</v>
      </c>
      <c r="K235" s="46" t="n">
        <v>0.83</v>
      </c>
      <c r="L235" s="46" t="n">
        <v>0.88</v>
      </c>
      <c r="M235" s="46" t="n">
        <v>0.92</v>
      </c>
      <c r="N235" s="46" t="n">
        <v>0.98</v>
      </c>
      <c r="O235" s="46" t="n">
        <v>1.01</v>
      </c>
    </row>
    <row r="236">
      <c r="B236" s="33" t="inlineStr">
        <is>
          <t>Difusa · 0.7 / 0.3 / 0.2</t>
        </is>
      </c>
      <c r="C236" s="46" t="n">
        <v>0.15</v>
      </c>
      <c r="D236" s="46" t="n">
        <v>0.21</v>
      </c>
      <c r="E236" s="46" t="n">
        <v>0.28</v>
      </c>
      <c r="F236" s="46" t="n">
        <v>0.33</v>
      </c>
      <c r="G236" s="46" t="n">
        <v>0.44</v>
      </c>
      <c r="H236" s="46" t="n">
        <v>0.52</v>
      </c>
      <c r="I236" s="46" t="n">
        <v>0.6</v>
      </c>
      <c r="J236" s="46" t="n">
        <v>0.66</v>
      </c>
      <c r="K236" s="46" t="n">
        <v>0.75</v>
      </c>
      <c r="L236" s="46" t="n">
        <v>0.82</v>
      </c>
      <c r="M236" s="46" t="n">
        <v>0.86</v>
      </c>
      <c r="N236" s="46" t="n">
        <v>0.93</v>
      </c>
      <c r="O236" s="46" t="n">
        <v>0.97</v>
      </c>
    </row>
    <row r="237">
      <c r="B237" s="33" t="inlineStr">
        <is>
          <t>Difusa · 0.7 / 0.3 / 0.1</t>
        </is>
      </c>
      <c r="C237" s="46" t="n">
        <v>0.15</v>
      </c>
      <c r="D237" s="46" t="n">
        <v>0.21</v>
      </c>
      <c r="E237" s="46" t="n">
        <v>0.27</v>
      </c>
      <c r="F237" s="46" t="n">
        <v>0.33</v>
      </c>
      <c r="G237" s="46" t="n">
        <v>0.43</v>
      </c>
      <c r="H237" s="46" t="n">
        <v>0.51</v>
      </c>
      <c r="I237" s="46" t="n">
        <v>0.58</v>
      </c>
      <c r="J237" s="46" t="n">
        <v>0.64</v>
      </c>
      <c r="K237" s="46" t="n">
        <v>0.72</v>
      </c>
      <c r="L237" s="46" t="n">
        <v>0.78</v>
      </c>
      <c r="M237" s="46" t="n">
        <v>0.82</v>
      </c>
      <c r="N237" s="46" t="n">
        <v>0.88</v>
      </c>
      <c r="O237" s="46" t="n">
        <v>0.91</v>
      </c>
    </row>
    <row r="238">
      <c r="B238" s="33" t="inlineStr">
        <is>
          <t>Difusa · 0.5 / 0.5 / 0.2</t>
        </is>
      </c>
      <c r="C238" s="46" t="n">
        <v>0.2</v>
      </c>
      <c r="D238" s="46" t="n">
        <v>0.28</v>
      </c>
      <c r="E238" s="46" t="n">
        <v>0.34</v>
      </c>
      <c r="F238" s="46" t="n">
        <v>0.4</v>
      </c>
      <c r="G238" s="46" t="n">
        <v>0.5</v>
      </c>
      <c r="H238" s="46" t="n">
        <v>0.58</v>
      </c>
      <c r="I238" s="46" t="n">
        <v>0.66</v>
      </c>
      <c r="J238" s="46" t="n">
        <v>0.71</v>
      </c>
      <c r="K238" s="46" t="n">
        <v>0.79</v>
      </c>
      <c r="L238" s="46" t="n">
        <v>0.85</v>
      </c>
      <c r="M238" s="46" t="n">
        <v>0.88</v>
      </c>
      <c r="N238" s="46" t="n">
        <v>0.93</v>
      </c>
      <c r="O238" s="46" t="n">
        <v>0.97</v>
      </c>
    </row>
    <row r="239">
      <c r="B239" s="33" t="inlineStr">
        <is>
          <t>Difusa · 0.5 / 0.3 / 0.1</t>
        </is>
      </c>
      <c r="C239" s="46" t="n">
        <v>0.14</v>
      </c>
      <c r="D239" s="46" t="n">
        <v>0.21</v>
      </c>
      <c r="E239" s="46" t="n">
        <v>0.27</v>
      </c>
      <c r="F239" s="46" t="n">
        <v>0.32</v>
      </c>
      <c r="G239" s="46" t="n">
        <v>0.42</v>
      </c>
      <c r="H239" s="46" t="n">
        <v>0.5</v>
      </c>
      <c r="I239" s="46" t="n">
        <v>0.57</v>
      </c>
      <c r="J239" s="46" t="n">
        <v>0.63</v>
      </c>
      <c r="K239" s="46" t="n">
        <v>0.71</v>
      </c>
      <c r="L239" s="46" t="n">
        <v>0.77</v>
      </c>
      <c r="M239" s="46" t="n">
        <v>0.8100000000000001</v>
      </c>
      <c r="N239" s="46" t="n">
        <v>0.86</v>
      </c>
      <c r="O239" s="46" t="n">
        <v>0.9</v>
      </c>
    </row>
    <row r="240">
      <c r="B240" s="33" t="inlineStr">
        <is>
          <t>Difusa · 0.3 / 0.3 / 0.1</t>
        </is>
      </c>
      <c r="C240" s="46" t="n">
        <v>0.14</v>
      </c>
      <c r="D240" s="46" t="n">
        <v>0.21</v>
      </c>
      <c r="E240" s="46" t="n">
        <v>0.27</v>
      </c>
      <c r="F240" s="46" t="n">
        <v>0.32</v>
      </c>
      <c r="G240" s="46" t="n">
        <v>0.41</v>
      </c>
      <c r="H240" s="46" t="n">
        <v>0.49</v>
      </c>
      <c r="I240" s="46" t="n">
        <v>0.5600000000000001</v>
      </c>
      <c r="J240" s="46" t="n">
        <v>0.62</v>
      </c>
      <c r="K240" s="46" t="n">
        <v>0.7</v>
      </c>
      <c r="L240" s="46" t="n">
        <v>0.75</v>
      </c>
      <c r="M240" s="46" t="n">
        <v>0.79</v>
      </c>
      <c r="N240" s="46" t="n">
        <v>0.84</v>
      </c>
      <c r="O240" s="46" t="n">
        <v>0.88</v>
      </c>
    </row>
    <row r="241">
      <c r="B241" s="33" t="inlineStr">
        <is>
          <t>Difusa · 0.3 / 0.1 / 0.1</t>
        </is>
      </c>
      <c r="C241" s="46" t="n">
        <v>0.11</v>
      </c>
      <c r="D241" s="46" t="n">
        <v>0.16</v>
      </c>
      <c r="E241" s="46" t="n">
        <v>0.22</v>
      </c>
      <c r="F241" s="46" t="n">
        <v>0.27</v>
      </c>
      <c r="G241" s="46" t="n">
        <v>0.36</v>
      </c>
      <c r="H241" s="46" t="n">
        <v>0.44</v>
      </c>
      <c r="I241" s="46" t="n">
        <v>0.51</v>
      </c>
      <c r="J241" s="46" t="n">
        <v>0.57</v>
      </c>
      <c r="K241" s="46" t="n">
        <v>0.66</v>
      </c>
      <c r="L241" s="46" t="n">
        <v>0.72</v>
      </c>
      <c r="M241" s="46" t="n">
        <v>0.76</v>
      </c>
      <c r="N241" s="46" t="n">
        <v>0.82</v>
      </c>
      <c r="O241" s="46" t="n">
        <v>0.86</v>
      </c>
    </row>
    <row r="242">
      <c r="B242" s="33" t="inlineStr">
        <is>
          <t>Difusa · 0.0 / 0.0 / 0.0</t>
        </is>
      </c>
      <c r="C242" s="46" t="n">
        <v>0.09</v>
      </c>
      <c r="D242" s="46" t="n">
        <v>0.15</v>
      </c>
      <c r="E242" s="46" t="n">
        <v>0.2</v>
      </c>
      <c r="F242" s="46" t="n">
        <v>0.25</v>
      </c>
      <c r="G242" s="46" t="n">
        <v>0.34</v>
      </c>
      <c r="H242" s="46" t="n">
        <v>0.42</v>
      </c>
      <c r="I242" s="46" t="n">
        <v>0.49</v>
      </c>
      <c r="J242" s="46" t="n">
        <v>0.55</v>
      </c>
      <c r="K242" s="46" t="n">
        <v>0.63</v>
      </c>
      <c r="L242" s="46" t="n">
        <v>0.6899999999999999</v>
      </c>
      <c r="M242" s="46" t="n">
        <v>0.73</v>
      </c>
      <c r="N242" s="46" t="n">
        <v>0.79</v>
      </c>
      <c r="O242" s="46" t="n">
        <v>0.83</v>
      </c>
    </row>
    <row r="243">
      <c r="B243" s="33" t="inlineStr">
        <is>
          <t>Concentrada · 0.8 / 0.5 / 0.3</t>
        </is>
      </c>
      <c r="C243" s="46" t="n">
        <v>0.28</v>
      </c>
      <c r="D243" s="46" t="n">
        <v>0.39</v>
      </c>
      <c r="E243" s="46" t="n">
        <v>0.48</v>
      </c>
      <c r="F243" s="46" t="n">
        <v>0.5600000000000001</v>
      </c>
      <c r="G243" s="46" t="n">
        <v>0.6899999999999999</v>
      </c>
      <c r="H243" s="46" t="n">
        <v>0.78</v>
      </c>
      <c r="I243" s="46" t="n">
        <v>0.86</v>
      </c>
      <c r="J243" s="46" t="n">
        <v>0.92</v>
      </c>
      <c r="K243" s="46" t="n">
        <v>1</v>
      </c>
      <c r="L243" s="46" t="n">
        <v>1.06</v>
      </c>
      <c r="M243" s="46" t="n">
        <v>1.09</v>
      </c>
      <c r="N243" s="46" t="n">
        <v>1.14</v>
      </c>
      <c r="O243" s="46" t="n">
        <v>1.18</v>
      </c>
    </row>
    <row r="244">
      <c r="B244" s="33" t="inlineStr">
        <is>
          <t>Concentrada · 0.8 / 0.5 / 0.2</t>
        </is>
      </c>
      <c r="C244" s="46" t="n">
        <v>0.28</v>
      </c>
      <c r="D244" s="46" t="n">
        <v>0.38</v>
      </c>
      <c r="E244" s="46" t="n">
        <v>0.47</v>
      </c>
      <c r="F244" s="46" t="n">
        <v>0.55</v>
      </c>
      <c r="G244" s="46" t="n">
        <v>0.66</v>
      </c>
      <c r="H244" s="46" t="n">
        <v>0.75</v>
      </c>
      <c r="I244" s="46" t="n">
        <v>0.82</v>
      </c>
      <c r="J244" s="46" t="n">
        <v>0.87</v>
      </c>
      <c r="K244" s="46" t="n">
        <v>0.9399999999999999</v>
      </c>
      <c r="L244" s="46" t="n">
        <v>0.99</v>
      </c>
      <c r="M244" s="46" t="n">
        <v>1.02</v>
      </c>
      <c r="N244" s="46" t="n">
        <v>1.06</v>
      </c>
      <c r="O244" s="46" t="n">
        <v>1.09</v>
      </c>
    </row>
    <row r="245">
      <c r="B245" s="33" t="inlineStr">
        <is>
          <t>Concentrada · 0.7 / 0.5 / 0.2</t>
        </is>
      </c>
      <c r="C245" s="46" t="n">
        <v>0.28</v>
      </c>
      <c r="D245" s="46" t="n">
        <v>0.38</v>
      </c>
      <c r="E245" s="46" t="n">
        <v>0.47</v>
      </c>
      <c r="F245" s="46" t="n">
        <v>0.54</v>
      </c>
      <c r="G245" s="46" t="n">
        <v>0.66</v>
      </c>
      <c r="H245" s="46" t="n">
        <v>0.74</v>
      </c>
      <c r="I245" s="46" t="n">
        <v>0.8100000000000001</v>
      </c>
      <c r="J245" s="46" t="n">
        <v>0.86</v>
      </c>
      <c r="K245" s="46" t="n">
        <v>0.93</v>
      </c>
      <c r="L245" s="46" t="n">
        <v>0.97</v>
      </c>
      <c r="M245" s="46" t="n">
        <v>1</v>
      </c>
      <c r="N245" s="46" t="n">
        <v>1.04</v>
      </c>
      <c r="O245" s="46" t="n">
        <v>1.06</v>
      </c>
    </row>
    <row r="246">
      <c r="B246" s="33" t="inlineStr">
        <is>
          <t>Concentrada · 0.7 / 0.3 / 0.2</t>
        </is>
      </c>
      <c r="C246" s="46" t="n">
        <v>0.22</v>
      </c>
      <c r="D246" s="46" t="n">
        <v>0.31</v>
      </c>
      <c r="E246" s="46" t="n">
        <v>0.4</v>
      </c>
      <c r="F246" s="46" t="n">
        <v>0.47</v>
      </c>
      <c r="G246" s="46" t="n">
        <v>0.58</v>
      </c>
      <c r="H246" s="46" t="n">
        <v>0.67</v>
      </c>
      <c r="I246" s="46" t="n">
        <v>0.74</v>
      </c>
      <c r="J246" s="46" t="n">
        <v>0.8</v>
      </c>
      <c r="K246" s="46" t="n">
        <v>0.88</v>
      </c>
      <c r="L246" s="46" t="n">
        <v>0.93</v>
      </c>
      <c r="M246" s="46" t="n">
        <v>0.96</v>
      </c>
      <c r="N246" s="46" t="n">
        <v>1.01</v>
      </c>
      <c r="O246" s="46" t="n">
        <v>1.04</v>
      </c>
    </row>
    <row r="247">
      <c r="B247" s="33" t="inlineStr">
        <is>
          <t>Concentrada · 0.7 / 0.3 / 0.1</t>
        </is>
      </c>
      <c r="C247" s="46" t="n">
        <v>0.22</v>
      </c>
      <c r="D247" s="46" t="n">
        <v>0.31</v>
      </c>
      <c r="E247" s="46" t="n">
        <v>0.39</v>
      </c>
      <c r="F247" s="46" t="n">
        <v>0.46</v>
      </c>
      <c r="G247" s="46" t="n">
        <v>0.57</v>
      </c>
      <c r="H247" s="46" t="n">
        <v>0.65</v>
      </c>
      <c r="I247" s="46" t="n">
        <v>0.72</v>
      </c>
      <c r="J247" s="46" t="n">
        <v>0.77</v>
      </c>
      <c r="K247" s="46" t="n">
        <v>0.84</v>
      </c>
      <c r="L247" s="46" t="n">
        <v>0.89</v>
      </c>
      <c r="M247" s="46" t="n">
        <v>0.92</v>
      </c>
      <c r="N247" s="46" t="n">
        <v>0.95</v>
      </c>
      <c r="O247" s="46" t="n">
        <v>0.98</v>
      </c>
    </row>
    <row r="248">
      <c r="B248" s="33" t="inlineStr">
        <is>
          <t>Concentrada · 0.5 / 0.5 / 0.2</t>
        </is>
      </c>
      <c r="C248" s="46" t="n">
        <v>0.27</v>
      </c>
      <c r="D248" s="46" t="n">
        <v>0.37</v>
      </c>
      <c r="E248" s="46" t="n">
        <v>0.46</v>
      </c>
      <c r="F248" s="46" t="n">
        <v>0.53</v>
      </c>
      <c r="G248" s="46" t="n">
        <v>0.64</v>
      </c>
      <c r="H248" s="46" t="n">
        <v>0.72</v>
      </c>
      <c r="I248" s="46" t="n">
        <v>0.79</v>
      </c>
      <c r="J248" s="46" t="n">
        <v>0.83</v>
      </c>
      <c r="K248" s="46" t="n">
        <v>0.9</v>
      </c>
      <c r="L248" s="46" t="n">
        <v>0.9399999999999999</v>
      </c>
      <c r="M248" s="46" t="n">
        <v>0.97</v>
      </c>
      <c r="N248" s="46" t="n">
        <v>1</v>
      </c>
      <c r="O248" s="46" t="n">
        <v>1.02</v>
      </c>
    </row>
    <row r="249">
      <c r="B249" s="33" t="inlineStr">
        <is>
          <t>Concentrada · 0.5 / 0.3 / 0.1</t>
        </is>
      </c>
      <c r="C249" s="46" t="n">
        <v>0.22</v>
      </c>
      <c r="D249" s="46" t="n">
        <v>0.31</v>
      </c>
      <c r="E249" s="46" t="n">
        <v>0.39</v>
      </c>
      <c r="F249" s="46" t="n">
        <v>0.46</v>
      </c>
      <c r="G249" s="46" t="n">
        <v>0.57</v>
      </c>
      <c r="H249" s="46" t="n">
        <v>0.65</v>
      </c>
      <c r="I249" s="46" t="n">
        <v>0.71</v>
      </c>
      <c r="J249" s="46" t="n">
        <v>0.76</v>
      </c>
      <c r="K249" s="46" t="n">
        <v>0.83</v>
      </c>
      <c r="L249" s="46" t="n">
        <v>0.87</v>
      </c>
      <c r="M249" s="46" t="n">
        <v>0.9</v>
      </c>
      <c r="N249" s="46" t="n">
        <v>0.9399999999999999</v>
      </c>
      <c r="O249" s="46" t="n">
        <v>0.96</v>
      </c>
    </row>
    <row r="250">
      <c r="B250" s="33" t="inlineStr">
        <is>
          <t>Concentrada · 0.3 / 0.3 / 0.1</t>
        </is>
      </c>
      <c r="C250" s="46" t="n">
        <v>0.22</v>
      </c>
      <c r="D250" s="46" t="n">
        <v>0.31</v>
      </c>
      <c r="E250" s="46" t="n">
        <v>0.39</v>
      </c>
      <c r="F250" s="46" t="n">
        <v>0.46</v>
      </c>
      <c r="G250" s="46" t="n">
        <v>0.5600000000000001</v>
      </c>
      <c r="H250" s="46" t="n">
        <v>0.64</v>
      </c>
      <c r="I250" s="46" t="n">
        <v>0.71</v>
      </c>
      <c r="J250" s="46" t="n">
        <v>0.75</v>
      </c>
      <c r="K250" s="46" t="n">
        <v>0.82</v>
      </c>
      <c r="L250" s="46" t="n">
        <v>0.86</v>
      </c>
      <c r="M250" s="46" t="n">
        <v>0.89</v>
      </c>
      <c r="N250" s="46" t="n">
        <v>0.92</v>
      </c>
      <c r="O250" s="46" t="n">
        <v>0.9399999999999999</v>
      </c>
    </row>
    <row r="251">
      <c r="B251" s="33" t="inlineStr">
        <is>
          <t>Concentrada · 0.3 / 0.1 / 0.1</t>
        </is>
      </c>
      <c r="C251" s="46" t="n">
        <v>0.18</v>
      </c>
      <c r="D251" s="46" t="n">
        <v>0.27</v>
      </c>
      <c r="E251" s="46" t="n">
        <v>0.35</v>
      </c>
      <c r="F251" s="46" t="n">
        <v>0.42</v>
      </c>
      <c r="G251" s="46" t="n">
        <v>0.52</v>
      </c>
      <c r="H251" s="46" t="n">
        <v>0.6</v>
      </c>
      <c r="I251" s="46" t="n">
        <v>0.67</v>
      </c>
      <c r="J251" s="46" t="n">
        <v>0.72</v>
      </c>
      <c r="K251" s="46" t="n">
        <v>0.79</v>
      </c>
      <c r="L251" s="46" t="n">
        <v>0.84</v>
      </c>
      <c r="M251" s="46" t="n">
        <v>0.87</v>
      </c>
      <c r="N251" s="46" t="n">
        <v>0.9</v>
      </c>
      <c r="O251" s="46" t="n">
        <v>0.93</v>
      </c>
    </row>
    <row r="252">
      <c r="B252" s="33" t="inlineStr">
        <is>
          <t>Concentrada · 0.0 / 0.0 / 0.0</t>
        </is>
      </c>
      <c r="C252" s="46" t="n">
        <v>0.17</v>
      </c>
      <c r="D252" s="46" t="n">
        <v>0.25</v>
      </c>
      <c r="E252" s="46" t="n">
        <v>0.33</v>
      </c>
      <c r="F252" s="46" t="n">
        <v>0.4</v>
      </c>
      <c r="G252" s="46" t="n">
        <v>0.51</v>
      </c>
      <c r="H252" s="46" t="n">
        <v>0.58</v>
      </c>
      <c r="I252" s="46" t="n">
        <v>0.65</v>
      </c>
      <c r="J252" s="46" t="n">
        <v>0.7</v>
      </c>
      <c r="K252" s="46" t="n">
        <v>0.77</v>
      </c>
      <c r="L252" s="46" t="n">
        <v>0.8100000000000001</v>
      </c>
      <c r="M252" s="46" t="n">
        <v>0.84</v>
      </c>
      <c r="N252" s="46" t="n">
        <v>0.88</v>
      </c>
      <c r="O252" s="46" t="n">
        <v>0.9</v>
      </c>
    </row>
    <row r="253">
      <c r="B253" s="3" t="inlineStr">
        <is>
          <t>Índice del local K (fila auxiliar)</t>
        </is>
      </c>
      <c r="C253" s="73" t="n">
        <v>0.3</v>
      </c>
      <c r="D253" s="73" t="n">
        <v>0.4</v>
      </c>
      <c r="E253" s="73" t="n">
        <v>0.5</v>
      </c>
      <c r="F253" s="73" t="n">
        <v>0.6</v>
      </c>
      <c r="G253" s="73" t="n">
        <v>0.8</v>
      </c>
      <c r="H253" s="73" t="n">
        <v>1</v>
      </c>
      <c r="I253" s="73" t="n">
        <v>1.25</v>
      </c>
      <c r="J253" s="73" t="n">
        <v>1.5</v>
      </c>
      <c r="K253" s="73" t="n">
        <v>2</v>
      </c>
      <c r="L253" s="73" t="n">
        <v>2.5</v>
      </c>
      <c r="M253" s="73" t="n">
        <v>3</v>
      </c>
      <c r="N253" s="73" t="n">
        <v>4</v>
      </c>
      <c r="O253" s="73" t="n">
        <v>5</v>
      </c>
    </row>
    <row r="256">
      <c r="B256" s="4" t="inlineStr">
        <is>
          <t>REFLECTANCIAS TÍPICAS (TECHO / PAREDES / SUELO)</t>
        </is>
      </c>
    </row>
    <row r="257">
      <c r="B257" s="3" t="inlineStr">
        <is>
          <t>Techo blanco 0.7–0.8; claro 0.5; oscuro 0.3. Paredes claras 0.5; medias 0.3; oscuras 0.1. Suelo claro 0.3; medio 0.2; oscuro 0.1.</t>
        </is>
      </c>
    </row>
    <row r="258" ht="26" customHeight="1">
      <c r="B258" s="32" t="inlineStr">
        <is>
          <t>Combinación</t>
        </is>
      </c>
    </row>
    <row r="259">
      <c r="B259" s="33" t="inlineStr">
        <is>
          <t>0.8 / 0.5 / 0.3</t>
        </is>
      </c>
    </row>
    <row r="260">
      <c r="B260" s="33" t="inlineStr">
        <is>
          <t>0.8 / 0.5 / 0.2</t>
        </is>
      </c>
    </row>
    <row r="261">
      <c r="B261" s="33" t="inlineStr">
        <is>
          <t>0.7 / 0.5 / 0.2</t>
        </is>
      </c>
    </row>
    <row r="262">
      <c r="B262" s="33" t="inlineStr">
        <is>
          <t>0.7 / 0.3 / 0.2</t>
        </is>
      </c>
    </row>
    <row r="263">
      <c r="B263" s="33" t="inlineStr">
        <is>
          <t>0.7 / 0.3 / 0.1</t>
        </is>
      </c>
    </row>
    <row r="264">
      <c r="B264" s="33" t="inlineStr">
        <is>
          <t>0.5 / 0.5 / 0.2</t>
        </is>
      </c>
    </row>
    <row r="265">
      <c r="B265" s="33" t="inlineStr">
        <is>
          <t>0.5 / 0.3 / 0.1</t>
        </is>
      </c>
    </row>
    <row r="266">
      <c r="B266" s="33" t="inlineStr">
        <is>
          <t>0.3 / 0.3 / 0.1</t>
        </is>
      </c>
    </row>
    <row r="267">
      <c r="B267" s="33" t="inlineStr">
        <is>
          <t>0.3 / 0.1 / 0.1</t>
        </is>
      </c>
    </row>
    <row r="268">
      <c r="B268" s="33" t="inlineStr">
        <is>
          <t>0.0 / 0.0 / 0.0</t>
        </is>
      </c>
    </row>
    <row r="271">
      <c r="B271" s="4" t="inlineStr">
        <is>
          <t>NTE EM.010 (R.M. 083-2019-VIVIENDA) · ANEXO «REQUISITOS MÍNIMOS DE ILUMINACIÓN» (Art. 6)</t>
        </is>
      </c>
    </row>
    <row r="272">
      <c r="B272" s="3" t="inlineStr">
        <is>
          <t>Em: iluminancia mantenida (lx), valor mínimo medio (Art. 5.7 y 6.7). UGRL: índice de deslumbramiento máximo. Uo: uniformidad mínima. Ra: índice de reproducción cromática mínimo. «—»: la norma no fija valor.</t>
        </is>
      </c>
    </row>
    <row r="273" ht="26" customHeight="1">
      <c r="B273" s="32" t="inlineStr">
        <is>
          <t>Tipo de interior, tarea o actividad</t>
        </is>
      </c>
      <c r="C273" s="32" t="inlineStr">
        <is>
          <t>Em (lx)</t>
        </is>
      </c>
      <c r="D273" s="32" t="inlineStr">
        <is>
          <t>UGRL</t>
        </is>
      </c>
      <c r="E273" s="32" t="inlineStr">
        <is>
          <t>Uo</t>
        </is>
      </c>
      <c r="F273" s="32" t="inlineStr">
        <is>
          <t>Ra</t>
        </is>
      </c>
      <c r="G273" s="32" t="inlineStr">
        <is>
          <t>Sección</t>
        </is>
      </c>
      <c r="H273" s="32" t="inlineStr">
        <is>
          <t>Subsección</t>
        </is>
      </c>
    </row>
    <row r="274">
      <c r="B274" s="33" t="inlineStr">
        <is>
          <t>Dormitorio</t>
        </is>
      </c>
      <c r="C274" s="46" t="n">
        <v>50</v>
      </c>
      <c r="D274" s="46" t="inlineStr">
        <is>
          <t>—</t>
        </is>
      </c>
      <c r="E274" s="46" t="inlineStr">
        <is>
          <t>—</t>
        </is>
      </c>
      <c r="F274" s="46" t="inlineStr">
        <is>
          <t>—</t>
        </is>
      </c>
      <c r="G274" s="33" t="inlineStr">
        <is>
          <t>1. Vivienda</t>
        </is>
      </c>
      <c r="H274" s="33" t="inlineStr">
        <is>
          <t>1.1 Zona privada</t>
        </is>
      </c>
      <c r="R274" s="18">
        <f>G274&amp;"|"&amp;B274</f>
        <v/>
      </c>
    </row>
    <row r="275">
      <c r="B275" s="33" t="inlineStr">
        <is>
          <t>Baño</t>
        </is>
      </c>
      <c r="C275" s="46" t="n">
        <v>100</v>
      </c>
      <c r="D275" s="46" t="inlineStr">
        <is>
          <t>—</t>
        </is>
      </c>
      <c r="E275" s="46" t="inlineStr">
        <is>
          <t>—</t>
        </is>
      </c>
      <c r="F275" s="46" t="inlineStr">
        <is>
          <t>—</t>
        </is>
      </c>
      <c r="G275" s="33" t="inlineStr">
        <is>
          <t>1. Vivienda</t>
        </is>
      </c>
      <c r="H275" s="33" t="inlineStr">
        <is>
          <t>1.1 Zona privada</t>
        </is>
      </c>
      <c r="R275" s="18">
        <f>G275&amp;"|"&amp;B275</f>
        <v/>
      </c>
    </row>
    <row r="276">
      <c r="B276" s="33" t="inlineStr">
        <is>
          <t>Baño (zona de espejo)</t>
        </is>
      </c>
      <c r="C276" s="46" t="n">
        <v>500</v>
      </c>
      <c r="D276" s="46" t="inlineStr">
        <is>
          <t>—</t>
        </is>
      </c>
      <c r="E276" s="46" t="inlineStr">
        <is>
          <t>—</t>
        </is>
      </c>
      <c r="F276" s="46" t="inlineStr">
        <is>
          <t>—</t>
        </is>
      </c>
      <c r="G276" s="33" t="inlineStr">
        <is>
          <t>1. Vivienda</t>
        </is>
      </c>
      <c r="H276" s="33" t="inlineStr">
        <is>
          <t>1.1 Zona privada</t>
        </is>
      </c>
      <c r="R276" s="18">
        <f>G276&amp;"|"&amp;B276</f>
        <v/>
      </c>
    </row>
    <row r="277">
      <c r="B277" s="33" t="inlineStr">
        <is>
          <t>Cocina</t>
        </is>
      </c>
      <c r="C277" s="46" t="n">
        <v>300</v>
      </c>
      <c r="D277" s="46" t="inlineStr">
        <is>
          <t>—</t>
        </is>
      </c>
      <c r="E277" s="46" t="inlineStr">
        <is>
          <t>—</t>
        </is>
      </c>
      <c r="F277" s="46" t="inlineStr">
        <is>
          <t>—</t>
        </is>
      </c>
      <c r="G277" s="33" t="inlineStr">
        <is>
          <t>1. Vivienda</t>
        </is>
      </c>
      <c r="H277" s="33" t="inlineStr">
        <is>
          <t>1.1 Zona privada</t>
        </is>
      </c>
      <c r="R277" s="18">
        <f>G277&amp;"|"&amp;B277</f>
        <v/>
      </c>
    </row>
    <row r="278">
      <c r="B278" s="33" t="inlineStr">
        <is>
          <t>Sala, sala de estar</t>
        </is>
      </c>
      <c r="C278" s="46" t="n">
        <v>100</v>
      </c>
      <c r="D278" s="46" t="inlineStr">
        <is>
          <t>—</t>
        </is>
      </c>
      <c r="E278" s="46" t="inlineStr">
        <is>
          <t>—</t>
        </is>
      </c>
      <c r="F278" s="46" t="inlineStr">
        <is>
          <t>—</t>
        </is>
      </c>
      <c r="G278" s="33" t="inlineStr">
        <is>
          <t>1. Vivienda</t>
        </is>
      </c>
      <c r="H278" s="33" t="inlineStr">
        <is>
          <t>1.1 Zona privada</t>
        </is>
      </c>
      <c r="R278" s="18">
        <f>G278&amp;"|"&amp;B278</f>
        <v/>
      </c>
    </row>
    <row r="279">
      <c r="B279" s="33" t="inlineStr">
        <is>
          <t>Comedor</t>
        </is>
      </c>
      <c r="C279" s="46" t="n">
        <v>100</v>
      </c>
      <c r="D279" s="46" t="inlineStr">
        <is>
          <t>—</t>
        </is>
      </c>
      <c r="E279" s="46" t="inlineStr">
        <is>
          <t>—</t>
        </is>
      </c>
      <c r="F279" s="46" t="inlineStr">
        <is>
          <t>—</t>
        </is>
      </c>
      <c r="G279" s="33" t="inlineStr">
        <is>
          <t>1. Vivienda</t>
        </is>
      </c>
      <c r="H279" s="33" t="inlineStr">
        <is>
          <t>1.1 Zona privada</t>
        </is>
      </c>
      <c r="R279" s="18">
        <f>G279&amp;"|"&amp;B279</f>
        <v/>
      </c>
    </row>
    <row r="280">
      <c r="B280" s="33" t="inlineStr">
        <is>
          <t>Estudios, almacenes, depósitos, walking closet, cuartos de trabajo doméstico (planchado, lavandería y similares)</t>
        </is>
      </c>
      <c r="C280" s="46" t="n">
        <v>500</v>
      </c>
      <c r="D280" s="46" t="inlineStr">
        <is>
          <t>—</t>
        </is>
      </c>
      <c r="E280" s="46" t="inlineStr">
        <is>
          <t>—</t>
        </is>
      </c>
      <c r="F280" s="46" t="inlineStr">
        <is>
          <t>—</t>
        </is>
      </c>
      <c r="G280" s="33" t="inlineStr">
        <is>
          <t>1. Vivienda</t>
        </is>
      </c>
      <c r="H280" s="33" t="inlineStr">
        <is>
          <t>1.1 Zona privada</t>
        </is>
      </c>
      <c r="R280" s="18">
        <f>G280&amp;"|"&amp;B280</f>
        <v/>
      </c>
    </row>
    <row r="281">
      <c r="B281" s="33" t="inlineStr">
        <is>
          <t>Patios, zonas abiertas</t>
        </is>
      </c>
      <c r="C281" s="46" t="n">
        <v>20</v>
      </c>
      <c r="D281" s="46" t="inlineStr">
        <is>
          <t>—</t>
        </is>
      </c>
      <c r="E281" s="46" t="inlineStr">
        <is>
          <t>—</t>
        </is>
      </c>
      <c r="F281" s="46" t="inlineStr">
        <is>
          <t>—</t>
        </is>
      </c>
      <c r="G281" s="33" t="inlineStr">
        <is>
          <t>1. Vivienda</t>
        </is>
      </c>
      <c r="H281" s="33" t="inlineStr">
        <is>
          <t>1.1 Zona privada</t>
        </is>
      </c>
      <c r="R281" s="18">
        <f>G281&amp;"|"&amp;B281</f>
        <v/>
      </c>
    </row>
    <row r="282">
      <c r="B282" s="33" t="inlineStr">
        <is>
          <t>Estacionamientos bajo techo</t>
        </is>
      </c>
      <c r="C282" s="46" t="n">
        <v>50</v>
      </c>
      <c r="D282" s="46" t="inlineStr">
        <is>
          <t>—</t>
        </is>
      </c>
      <c r="E282" s="46" t="inlineStr">
        <is>
          <t>—</t>
        </is>
      </c>
      <c r="F282" s="46" t="inlineStr">
        <is>
          <t>—</t>
        </is>
      </c>
      <c r="G282" s="33" t="inlineStr">
        <is>
          <t>1. Vivienda</t>
        </is>
      </c>
      <c r="H282" s="33" t="inlineStr">
        <is>
          <t>1.1 Zona privada</t>
        </is>
      </c>
      <c r="R282" s="18">
        <f>G282&amp;"|"&amp;B282</f>
        <v/>
      </c>
    </row>
    <row r="283">
      <c r="B283" s="33" t="inlineStr">
        <is>
          <t>Vestíbulos de entrada</t>
        </is>
      </c>
      <c r="C283" s="46" t="n">
        <v>100</v>
      </c>
      <c r="D283" s="46" t="n">
        <v>22</v>
      </c>
      <c r="E283" s="46" t="inlineStr">
        <is>
          <t>—</t>
        </is>
      </c>
      <c r="F283" s="46" t="n">
        <v>60</v>
      </c>
      <c r="G283" s="33" t="inlineStr">
        <is>
          <t>1. Vivienda</t>
        </is>
      </c>
      <c r="H283" s="33" t="inlineStr">
        <is>
          <t>1.2 Zonas comunes</t>
        </is>
      </c>
      <c r="R283" s="18">
        <f>G283&amp;"|"&amp;B283</f>
        <v/>
      </c>
    </row>
    <row r="284">
      <c r="B284" s="33" t="inlineStr">
        <is>
          <t>Salas de estar (pública)</t>
        </is>
      </c>
      <c r="C284" s="46" t="n">
        <v>200</v>
      </c>
      <c r="D284" s="46" t="n">
        <v>22</v>
      </c>
      <c r="E284" s="46" t="inlineStr">
        <is>
          <t>—</t>
        </is>
      </c>
      <c r="F284" s="46" t="n">
        <v>80</v>
      </c>
      <c r="G284" s="33" t="inlineStr">
        <is>
          <t>1. Vivienda</t>
        </is>
      </c>
      <c r="H284" s="33" t="inlineStr">
        <is>
          <t>1.2 Zonas comunes</t>
        </is>
      </c>
      <c r="R284" s="18">
        <f>G284&amp;"|"&amp;B284</f>
        <v/>
      </c>
    </row>
    <row r="285">
      <c r="B285" s="33" t="inlineStr">
        <is>
          <t>Áreas de circulación y pasillos</t>
        </is>
      </c>
      <c r="C285" s="46" t="n">
        <v>100</v>
      </c>
      <c r="D285" s="46" t="n">
        <v>28</v>
      </c>
      <c r="E285" s="74" t="n">
        <v>0.4</v>
      </c>
      <c r="F285" s="46" t="n">
        <v>40</v>
      </c>
      <c r="G285" s="33" t="inlineStr">
        <is>
          <t>1. Vivienda</t>
        </is>
      </c>
      <c r="H285" s="33" t="inlineStr">
        <is>
          <t>1.2 Zonas comunes</t>
        </is>
      </c>
      <c r="R285" s="18">
        <f>G285&amp;"|"&amp;B285</f>
        <v/>
      </c>
    </row>
    <row r="286">
      <c r="B286" s="33" t="inlineStr">
        <is>
          <t>Escaleras, escaleras mecánicas y transportadores (de personas)</t>
        </is>
      </c>
      <c r="C286" s="46" t="n">
        <v>150</v>
      </c>
      <c r="D286" s="46" t="n">
        <v>25</v>
      </c>
      <c r="E286" s="74" t="n">
        <v>0.4</v>
      </c>
      <c r="F286" s="46" t="n">
        <v>40</v>
      </c>
      <c r="G286" s="33" t="inlineStr">
        <is>
          <t>1. Vivienda</t>
        </is>
      </c>
      <c r="H286" s="33" t="inlineStr">
        <is>
          <t>1.2 Zonas comunes</t>
        </is>
      </c>
      <c r="R286" s="18">
        <f>G286&amp;"|"&amp;B286</f>
        <v/>
      </c>
    </row>
    <row r="287">
      <c r="B287" s="33" t="inlineStr">
        <is>
          <t>Ascensores, montacargas</t>
        </is>
      </c>
      <c r="C287" s="46" t="n">
        <v>100</v>
      </c>
      <c r="D287" s="46" t="n">
        <v>25</v>
      </c>
      <c r="E287" s="74" t="n">
        <v>0.4</v>
      </c>
      <c r="F287" s="46" t="n">
        <v>40</v>
      </c>
      <c r="G287" s="33" t="inlineStr">
        <is>
          <t>1. Vivienda</t>
        </is>
      </c>
      <c r="H287" s="33" t="inlineStr">
        <is>
          <t>1.2 Zonas comunes</t>
        </is>
      </c>
      <c r="R287" s="18">
        <f>G287&amp;"|"&amp;B287</f>
        <v/>
      </c>
    </row>
    <row r="288">
      <c r="B288" s="33" t="inlineStr">
        <is>
          <t>Rampas/andenes/patios de carga</t>
        </is>
      </c>
      <c r="C288" s="46" t="n">
        <v>150</v>
      </c>
      <c r="D288" s="46" t="n">
        <v>25</v>
      </c>
      <c r="E288" s="74" t="n">
        <v>0.4</v>
      </c>
      <c r="F288" s="46" t="n">
        <v>40</v>
      </c>
      <c r="G288" s="33" t="inlineStr">
        <is>
          <t>1. Vivienda</t>
        </is>
      </c>
      <c r="H288" s="33" t="inlineStr">
        <is>
          <t>1.2 Zonas comunes</t>
        </is>
      </c>
      <c r="R288" s="18">
        <f>G288&amp;"|"&amp;B288</f>
        <v/>
      </c>
    </row>
    <row r="289">
      <c r="B289" s="33" t="inlineStr">
        <is>
          <t>Sala de juegos</t>
        </is>
      </c>
      <c r="C289" s="46" t="n">
        <v>300</v>
      </c>
      <c r="D289" s="46" t="n">
        <v>22</v>
      </c>
      <c r="E289" s="74" t="n">
        <v>0.4</v>
      </c>
      <c r="F289" s="46" t="n">
        <v>80</v>
      </c>
      <c r="G289" s="33" t="inlineStr">
        <is>
          <t>2. Educación</t>
        </is>
      </c>
      <c r="H289" s="33" t="inlineStr"/>
      <c r="R289" s="18">
        <f>G289&amp;"|"&amp;B289</f>
        <v/>
      </c>
    </row>
    <row r="290">
      <c r="B290" s="33" t="inlineStr">
        <is>
          <t>Guarderías</t>
        </is>
      </c>
      <c r="C290" s="46" t="n">
        <v>300</v>
      </c>
      <c r="D290" s="46" t="n">
        <v>22</v>
      </c>
      <c r="E290" s="74" t="n">
        <v>0.4</v>
      </c>
      <c r="F290" s="46" t="n">
        <v>80</v>
      </c>
      <c r="G290" s="33" t="inlineStr">
        <is>
          <t>2. Educación</t>
        </is>
      </c>
      <c r="H290" s="33" t="inlineStr"/>
      <c r="R290" s="18">
        <f>G290&amp;"|"&amp;B290</f>
        <v/>
      </c>
    </row>
    <row r="291">
      <c r="B291" s="33" t="inlineStr">
        <is>
          <t>Sala de manualidades</t>
        </is>
      </c>
      <c r="C291" s="46" t="n">
        <v>300</v>
      </c>
      <c r="D291" s="46" t="n">
        <v>19</v>
      </c>
      <c r="E291" s="74" t="n">
        <v>0.6</v>
      </c>
      <c r="F291" s="46" t="n">
        <v>80</v>
      </c>
      <c r="G291" s="33" t="inlineStr">
        <is>
          <t>2. Educación</t>
        </is>
      </c>
      <c r="H291" s="33" t="inlineStr"/>
      <c r="R291" s="18">
        <f>G291&amp;"|"&amp;B291</f>
        <v/>
      </c>
    </row>
    <row r="292">
      <c r="B292" s="33" t="inlineStr">
        <is>
          <t>Aulas de profesores</t>
        </is>
      </c>
      <c r="C292" s="46" t="n">
        <v>300</v>
      </c>
      <c r="D292" s="46" t="n">
        <v>19</v>
      </c>
      <c r="E292" s="74" t="n">
        <v>0.6</v>
      </c>
      <c r="F292" s="46" t="n">
        <v>80</v>
      </c>
      <c r="G292" s="33" t="inlineStr">
        <is>
          <t>2. Educación</t>
        </is>
      </c>
      <c r="H292" s="33" t="inlineStr"/>
      <c r="R292" s="18">
        <f>G292&amp;"|"&amp;B292</f>
        <v/>
      </c>
    </row>
    <row r="293">
      <c r="B293" s="33" t="inlineStr">
        <is>
          <t>Aulas para clases nocturnas y de educación de adultos</t>
        </is>
      </c>
      <c r="C293" s="46" t="n">
        <v>500</v>
      </c>
      <c r="D293" s="46" t="n">
        <v>19</v>
      </c>
      <c r="E293" s="74" t="n">
        <v>0.6</v>
      </c>
      <c r="F293" s="46" t="n">
        <v>80</v>
      </c>
      <c r="G293" s="33" t="inlineStr">
        <is>
          <t>2. Educación</t>
        </is>
      </c>
      <c r="H293" s="33" t="inlineStr"/>
      <c r="R293" s="18">
        <f>G293&amp;"|"&amp;B293</f>
        <v/>
      </c>
    </row>
    <row r="294">
      <c r="B294" s="33" t="inlineStr">
        <is>
          <t>Salas de lectura</t>
        </is>
      </c>
      <c r="C294" s="46" t="n">
        <v>500</v>
      </c>
      <c r="D294" s="46" t="n">
        <v>19</v>
      </c>
      <c r="E294" s="74" t="n">
        <v>0.6</v>
      </c>
      <c r="F294" s="46" t="n">
        <v>80</v>
      </c>
      <c r="G294" s="33" t="inlineStr">
        <is>
          <t>2. Educación</t>
        </is>
      </c>
      <c r="H294" s="33" t="inlineStr"/>
      <c r="R294" s="18">
        <f>G294&amp;"|"&amp;B294</f>
        <v/>
      </c>
    </row>
    <row r="295">
      <c r="B295" s="33" t="inlineStr">
        <is>
          <t>Zona de pizarra</t>
        </is>
      </c>
      <c r="C295" s="46" t="n">
        <v>500</v>
      </c>
      <c r="D295" s="46" t="n">
        <v>19</v>
      </c>
      <c r="E295" s="74" t="n">
        <v>0.7</v>
      </c>
      <c r="F295" s="46" t="n">
        <v>80</v>
      </c>
      <c r="G295" s="33" t="inlineStr">
        <is>
          <t>2. Educación</t>
        </is>
      </c>
      <c r="H295" s="33" t="inlineStr"/>
      <c r="R295" s="18">
        <f>G295&amp;"|"&amp;B295</f>
        <v/>
      </c>
    </row>
    <row r="296">
      <c r="B296" s="33" t="inlineStr">
        <is>
          <t>Mesa de demostraciones</t>
        </is>
      </c>
      <c r="C296" s="46" t="n">
        <v>500</v>
      </c>
      <c r="D296" s="46" t="n">
        <v>19</v>
      </c>
      <c r="E296" s="74" t="n">
        <v>0.7</v>
      </c>
      <c r="F296" s="46" t="n">
        <v>80</v>
      </c>
      <c r="G296" s="33" t="inlineStr">
        <is>
          <t>2. Educación</t>
        </is>
      </c>
      <c r="H296" s="33" t="inlineStr"/>
      <c r="R296" s="18">
        <f>G296&amp;"|"&amp;B296</f>
        <v/>
      </c>
    </row>
    <row r="297">
      <c r="B297" s="33" t="inlineStr">
        <is>
          <t>Locales de artes y oficios</t>
        </is>
      </c>
      <c r="C297" s="46" t="n">
        <v>500</v>
      </c>
      <c r="D297" s="46" t="n">
        <v>19</v>
      </c>
      <c r="E297" s="74" t="n">
        <v>0.6</v>
      </c>
      <c r="F297" s="46" t="n">
        <v>80</v>
      </c>
      <c r="G297" s="33" t="inlineStr">
        <is>
          <t>2. Educación</t>
        </is>
      </c>
      <c r="H297" s="33" t="inlineStr"/>
      <c r="R297" s="18">
        <f>G297&amp;"|"&amp;B297</f>
        <v/>
      </c>
    </row>
    <row r="298">
      <c r="B298" s="33" t="inlineStr">
        <is>
          <t>Locales de artes (en escuelas de arte)</t>
        </is>
      </c>
      <c r="C298" s="46" t="n">
        <v>750</v>
      </c>
      <c r="D298" s="46" t="n">
        <v>19</v>
      </c>
      <c r="E298" s="74" t="n">
        <v>0.7</v>
      </c>
      <c r="F298" s="46" t="n">
        <v>90</v>
      </c>
      <c r="G298" s="33" t="inlineStr">
        <is>
          <t>2. Educación</t>
        </is>
      </c>
      <c r="H298" s="33" t="inlineStr"/>
      <c r="R298" s="18">
        <f>G298&amp;"|"&amp;B298</f>
        <v/>
      </c>
    </row>
    <row r="299">
      <c r="B299" s="33" t="inlineStr">
        <is>
          <t>Salas de dibujo técnico</t>
        </is>
      </c>
      <c r="C299" s="46" t="n">
        <v>750</v>
      </c>
      <c r="D299" s="46" t="n">
        <v>16</v>
      </c>
      <c r="E299" s="74" t="n">
        <v>0.7</v>
      </c>
      <c r="F299" s="46" t="n">
        <v>80</v>
      </c>
      <c r="G299" s="33" t="inlineStr">
        <is>
          <t>2. Educación</t>
        </is>
      </c>
      <c r="H299" s="33" t="inlineStr"/>
      <c r="R299" s="18">
        <f>G299&amp;"|"&amp;B299</f>
        <v/>
      </c>
    </row>
    <row r="300">
      <c r="B300" s="33" t="inlineStr">
        <is>
          <t>Locales de prácticas y laboratorios</t>
        </is>
      </c>
      <c r="C300" s="46" t="n">
        <v>500</v>
      </c>
      <c r="D300" s="46" t="n">
        <v>19</v>
      </c>
      <c r="E300" s="74" t="n">
        <v>0.6</v>
      </c>
      <c r="F300" s="46" t="n">
        <v>80</v>
      </c>
      <c r="G300" s="33" t="inlineStr">
        <is>
          <t>2. Educación</t>
        </is>
      </c>
      <c r="H300" s="33" t="inlineStr"/>
      <c r="R300" s="18">
        <f>G300&amp;"|"&amp;B300</f>
        <v/>
      </c>
    </row>
    <row r="301">
      <c r="B301" s="33" t="inlineStr">
        <is>
          <t>Aulas de manualidades</t>
        </is>
      </c>
      <c r="C301" s="46" t="n">
        <v>500</v>
      </c>
      <c r="D301" s="46" t="n">
        <v>19</v>
      </c>
      <c r="E301" s="74" t="n">
        <v>0.6</v>
      </c>
      <c r="F301" s="46" t="n">
        <v>80</v>
      </c>
      <c r="G301" s="33" t="inlineStr">
        <is>
          <t>2. Educación</t>
        </is>
      </c>
      <c r="H301" s="33" t="inlineStr"/>
      <c r="R301" s="18">
        <f>G301&amp;"|"&amp;B301</f>
        <v/>
      </c>
    </row>
    <row r="302">
      <c r="B302" s="33" t="inlineStr">
        <is>
          <t>Taller de enseñanza</t>
        </is>
      </c>
      <c r="C302" s="46" t="n">
        <v>500</v>
      </c>
      <c r="D302" s="46" t="n">
        <v>19</v>
      </c>
      <c r="E302" s="74" t="n">
        <v>0.6</v>
      </c>
      <c r="F302" s="46" t="n">
        <v>80</v>
      </c>
      <c r="G302" s="33" t="inlineStr">
        <is>
          <t>2. Educación</t>
        </is>
      </c>
      <c r="H302" s="33" t="inlineStr"/>
      <c r="R302" s="18">
        <f>G302&amp;"|"&amp;B302</f>
        <v/>
      </c>
    </row>
    <row r="303">
      <c r="B303" s="33" t="inlineStr">
        <is>
          <t>Locales de prácticas de música</t>
        </is>
      </c>
      <c r="C303" s="46" t="n">
        <v>300</v>
      </c>
      <c r="D303" s="46" t="n">
        <v>19</v>
      </c>
      <c r="E303" s="74" t="n">
        <v>0.6</v>
      </c>
      <c r="F303" s="46" t="n">
        <v>80</v>
      </c>
      <c r="G303" s="33" t="inlineStr">
        <is>
          <t>2. Educación</t>
        </is>
      </c>
      <c r="H303" s="33" t="inlineStr"/>
      <c r="R303" s="18">
        <f>G303&amp;"|"&amp;B303</f>
        <v/>
      </c>
    </row>
    <row r="304">
      <c r="B304" s="33" t="inlineStr">
        <is>
          <t>Locales de prácticas de computación</t>
        </is>
      </c>
      <c r="C304" s="46" t="n">
        <v>300</v>
      </c>
      <c r="D304" s="46" t="n">
        <v>19</v>
      </c>
      <c r="E304" s="74" t="n">
        <v>0.6</v>
      </c>
      <c r="F304" s="46" t="n">
        <v>80</v>
      </c>
      <c r="G304" s="33" t="inlineStr">
        <is>
          <t>2. Educación</t>
        </is>
      </c>
      <c r="H304" s="33" t="inlineStr"/>
      <c r="R304" s="18">
        <f>G304&amp;"|"&amp;B304</f>
        <v/>
      </c>
    </row>
    <row r="305">
      <c r="B305" s="33" t="inlineStr">
        <is>
          <t>Laboratorio de idiomas</t>
        </is>
      </c>
      <c r="C305" s="46" t="n">
        <v>300</v>
      </c>
      <c r="D305" s="46" t="n">
        <v>19</v>
      </c>
      <c r="E305" s="74" t="n">
        <v>0.6</v>
      </c>
      <c r="F305" s="46" t="n">
        <v>80</v>
      </c>
      <c r="G305" s="33" t="inlineStr">
        <is>
          <t>2. Educación</t>
        </is>
      </c>
      <c r="H305" s="33" t="inlineStr"/>
      <c r="R305" s="18">
        <f>G305&amp;"|"&amp;B305</f>
        <v/>
      </c>
    </row>
    <row r="306">
      <c r="B306" s="33" t="inlineStr">
        <is>
          <t>Locales y talleres de preparación</t>
        </is>
      </c>
      <c r="C306" s="46" t="n">
        <v>500</v>
      </c>
      <c r="D306" s="46" t="n">
        <v>22</v>
      </c>
      <c r="E306" s="74" t="n">
        <v>0.6</v>
      </c>
      <c r="F306" s="46" t="n">
        <v>80</v>
      </c>
      <c r="G306" s="33" t="inlineStr">
        <is>
          <t>2. Educación</t>
        </is>
      </c>
      <c r="H306" s="33" t="inlineStr"/>
      <c r="R306" s="18">
        <f>G306&amp;"|"&amp;B306</f>
        <v/>
      </c>
    </row>
    <row r="307">
      <c r="B307" s="33" t="inlineStr">
        <is>
          <t>Vestíbulo de entrada</t>
        </is>
      </c>
      <c r="C307" s="46" t="n">
        <v>200</v>
      </c>
      <c r="D307" s="46" t="n">
        <v>22</v>
      </c>
      <c r="E307" s="74" t="n">
        <v>0.4</v>
      </c>
      <c r="F307" s="46" t="n">
        <v>80</v>
      </c>
      <c r="G307" s="33" t="inlineStr">
        <is>
          <t>2. Educación</t>
        </is>
      </c>
      <c r="H307" s="33" t="inlineStr"/>
      <c r="R307" s="18">
        <f>G307&amp;"|"&amp;B307</f>
        <v/>
      </c>
    </row>
    <row r="308">
      <c r="B308" s="33" t="inlineStr">
        <is>
          <t>Áreas de circulación, pasillos</t>
        </is>
      </c>
      <c r="C308" s="46" t="n">
        <v>100</v>
      </c>
      <c r="D308" s="46" t="n">
        <v>25</v>
      </c>
      <c r="E308" s="74" t="n">
        <v>0.4</v>
      </c>
      <c r="F308" s="46" t="n">
        <v>80</v>
      </c>
      <c r="G308" s="33" t="inlineStr">
        <is>
          <t>2. Educación</t>
        </is>
      </c>
      <c r="H308" s="33" t="inlineStr"/>
      <c r="R308" s="18">
        <f>G308&amp;"|"&amp;B308</f>
        <v/>
      </c>
    </row>
    <row r="309">
      <c r="B309" s="33" t="inlineStr">
        <is>
          <t>Escaleras</t>
        </is>
      </c>
      <c r="C309" s="46" t="n">
        <v>150</v>
      </c>
      <c r="D309" s="46" t="n">
        <v>25</v>
      </c>
      <c r="E309" s="74" t="n">
        <v>0.4</v>
      </c>
      <c r="F309" s="46" t="n">
        <v>80</v>
      </c>
      <c r="G309" s="33" t="inlineStr">
        <is>
          <t>2. Educación</t>
        </is>
      </c>
      <c r="H309" s="33" t="inlineStr"/>
      <c r="R309" s="18">
        <f>G309&amp;"|"&amp;B309</f>
        <v/>
      </c>
    </row>
    <row r="310">
      <c r="B310" s="33" t="inlineStr">
        <is>
          <t>Locales comunes de estudiantes y salas de reuniones</t>
        </is>
      </c>
      <c r="C310" s="46" t="n">
        <v>200</v>
      </c>
      <c r="D310" s="46" t="n">
        <v>22</v>
      </c>
      <c r="E310" s="74" t="n">
        <v>0.4</v>
      </c>
      <c r="F310" s="46" t="n">
        <v>80</v>
      </c>
      <c r="G310" s="33" t="inlineStr">
        <is>
          <t>2. Educación</t>
        </is>
      </c>
      <c r="H310" s="33" t="inlineStr"/>
      <c r="R310" s="18">
        <f>G310&amp;"|"&amp;B310</f>
        <v/>
      </c>
    </row>
    <row r="311">
      <c r="B311" s="33" t="inlineStr">
        <is>
          <t>Locales de maestros</t>
        </is>
      </c>
      <c r="C311" s="46" t="n">
        <v>300</v>
      </c>
      <c r="D311" s="46" t="n">
        <v>19</v>
      </c>
      <c r="E311" s="74" t="n">
        <v>0.6</v>
      </c>
      <c r="F311" s="46" t="n">
        <v>80</v>
      </c>
      <c r="G311" s="33" t="inlineStr">
        <is>
          <t>2. Educación</t>
        </is>
      </c>
      <c r="H311" s="33" t="inlineStr"/>
      <c r="R311" s="18">
        <f>G311&amp;"|"&amp;B311</f>
        <v/>
      </c>
    </row>
    <row r="312">
      <c r="B312" s="33" t="inlineStr">
        <is>
          <t>Biblioteca: estanterías</t>
        </is>
      </c>
      <c r="C312" s="46" t="n">
        <v>200</v>
      </c>
      <c r="D312" s="46" t="n">
        <v>19</v>
      </c>
      <c r="E312" s="74" t="n">
        <v>0.6</v>
      </c>
      <c r="F312" s="46" t="n">
        <v>80</v>
      </c>
      <c r="G312" s="33" t="inlineStr">
        <is>
          <t>2. Educación</t>
        </is>
      </c>
      <c r="H312" s="33" t="inlineStr"/>
      <c r="R312" s="18">
        <f>G312&amp;"|"&amp;B312</f>
        <v/>
      </c>
    </row>
    <row r="313">
      <c r="B313" s="33" t="inlineStr">
        <is>
          <t>Biblioteca: áreas de lectura</t>
        </is>
      </c>
      <c r="C313" s="46" t="n">
        <v>500</v>
      </c>
      <c r="D313" s="46" t="n">
        <v>19</v>
      </c>
      <c r="E313" s="74" t="n">
        <v>0.6</v>
      </c>
      <c r="F313" s="46" t="n">
        <v>80</v>
      </c>
      <c r="G313" s="33" t="inlineStr">
        <is>
          <t>2. Educación</t>
        </is>
      </c>
      <c r="H313" s="33" t="inlineStr"/>
      <c r="R313" s="18">
        <f>G313&amp;"|"&amp;B313</f>
        <v/>
      </c>
    </row>
    <row r="314">
      <c r="B314" s="33" t="inlineStr">
        <is>
          <t>Almacenes de material de profesores</t>
        </is>
      </c>
      <c r="C314" s="46" t="n">
        <v>100</v>
      </c>
      <c r="D314" s="46" t="n">
        <v>25</v>
      </c>
      <c r="E314" s="74" t="n">
        <v>0.4</v>
      </c>
      <c r="F314" s="46" t="n">
        <v>80</v>
      </c>
      <c r="G314" s="33" t="inlineStr">
        <is>
          <t>2. Educación</t>
        </is>
      </c>
      <c r="H314" s="33" t="inlineStr"/>
      <c r="R314" s="18">
        <f>G314&amp;"|"&amp;B314</f>
        <v/>
      </c>
    </row>
    <row r="315">
      <c r="B315" s="33" t="inlineStr">
        <is>
          <t>Salas deportivas, gimnasios y piscinas</t>
        </is>
      </c>
      <c r="C315" s="46" t="n">
        <v>300</v>
      </c>
      <c r="D315" s="46" t="n">
        <v>22</v>
      </c>
      <c r="E315" s="74" t="n">
        <v>0.6</v>
      </c>
      <c r="F315" s="46" t="n">
        <v>80</v>
      </c>
      <c r="G315" s="33" t="inlineStr">
        <is>
          <t>2. Educación</t>
        </is>
      </c>
      <c r="H315" s="33" t="inlineStr"/>
      <c r="R315" s="18">
        <f>G315&amp;"|"&amp;B315</f>
        <v/>
      </c>
    </row>
    <row r="316">
      <c r="B316" s="33" t="inlineStr">
        <is>
          <t>Cocina</t>
        </is>
      </c>
      <c r="C316" s="46" t="n">
        <v>500</v>
      </c>
      <c r="D316" s="46" t="n">
        <v>22</v>
      </c>
      <c r="E316" s="74" t="n">
        <v>0.6</v>
      </c>
      <c r="F316" s="46" t="n">
        <v>80</v>
      </c>
      <c r="G316" s="33" t="inlineStr">
        <is>
          <t>2. Educación</t>
        </is>
      </c>
      <c r="H316" s="33" t="inlineStr"/>
      <c r="R316" s="18">
        <f>G316&amp;"|"&amp;B316</f>
        <v/>
      </c>
    </row>
    <row r="317">
      <c r="B317" s="33" t="inlineStr">
        <is>
          <t>Salas de espera</t>
        </is>
      </c>
      <c r="C317" s="46" t="n">
        <v>200</v>
      </c>
      <c r="D317" s="46" t="n">
        <v>22</v>
      </c>
      <c r="E317" s="74" t="n">
        <v>0.4</v>
      </c>
      <c r="F317" s="46" t="n">
        <v>80</v>
      </c>
      <c r="G317" s="33" t="inlineStr">
        <is>
          <t>3. Salud</t>
        </is>
      </c>
      <c r="H317" s="33" t="inlineStr">
        <is>
          <t>3.1 Salas de uso general</t>
        </is>
      </c>
      <c r="R317" s="18">
        <f>G317&amp;"|"&amp;B317</f>
        <v/>
      </c>
    </row>
    <row r="318">
      <c r="B318" s="33" t="inlineStr">
        <is>
          <t>Corredores: durante el día</t>
        </is>
      </c>
      <c r="C318" s="46" t="n">
        <v>100</v>
      </c>
      <c r="D318" s="46" t="n">
        <v>22</v>
      </c>
      <c r="E318" s="74" t="n">
        <v>0.4</v>
      </c>
      <c r="F318" s="46" t="n">
        <v>80</v>
      </c>
      <c r="G318" s="33" t="inlineStr">
        <is>
          <t>3. Salud</t>
        </is>
      </c>
      <c r="H318" s="33" t="inlineStr">
        <is>
          <t>3.1 Salas de uso general</t>
        </is>
      </c>
      <c r="R318" s="18">
        <f>G318&amp;"|"&amp;B318</f>
        <v/>
      </c>
    </row>
    <row r="319">
      <c r="B319" s="33" t="inlineStr">
        <is>
          <t>Corredores: durante la noche</t>
        </is>
      </c>
      <c r="C319" s="46" t="n">
        <v>50</v>
      </c>
      <c r="D319" s="46" t="n">
        <v>22</v>
      </c>
      <c r="E319" s="74" t="n">
        <v>0.4</v>
      </c>
      <c r="F319" s="46" t="n">
        <v>80</v>
      </c>
      <c r="G319" s="33" t="inlineStr">
        <is>
          <t>3. Salud</t>
        </is>
      </c>
      <c r="H319" s="33" t="inlineStr">
        <is>
          <t>3.1 Salas de uso general</t>
        </is>
      </c>
      <c r="R319" s="18">
        <f>G319&amp;"|"&amp;B319</f>
        <v/>
      </c>
    </row>
    <row r="320">
      <c r="B320" s="33" t="inlineStr">
        <is>
          <t>Ambientes para curaciones</t>
        </is>
      </c>
      <c r="C320" s="46" t="n">
        <v>500</v>
      </c>
      <c r="D320" s="46" t="n">
        <v>19</v>
      </c>
      <c r="E320" s="74" t="n">
        <v>0.6</v>
      </c>
      <c r="F320" s="46" t="n">
        <v>80</v>
      </c>
      <c r="G320" s="33" t="inlineStr">
        <is>
          <t>3. Salud</t>
        </is>
      </c>
      <c r="H320" s="33" t="inlineStr">
        <is>
          <t>3.1 Salas de uso general</t>
        </is>
      </c>
      <c r="R320" s="18">
        <f>G320&amp;"|"&amp;B320</f>
        <v/>
      </c>
    </row>
    <row r="321">
      <c r="B321" s="33" t="inlineStr">
        <is>
          <t>Salas para consulta médica</t>
        </is>
      </c>
      <c r="C321" s="46" t="n">
        <v>500</v>
      </c>
      <c r="D321" s="46" t="n">
        <v>16</v>
      </c>
      <c r="E321" s="74" t="n">
        <v>0.6</v>
      </c>
      <c r="F321" s="46" t="n">
        <v>90</v>
      </c>
      <c r="G321" s="33" t="inlineStr">
        <is>
          <t>3. Salud</t>
        </is>
      </c>
      <c r="H321" s="33" t="inlineStr">
        <is>
          <t>3.1 Salas de uso general</t>
        </is>
      </c>
      <c r="R321" s="18">
        <f>G321&amp;"|"&amp;B321</f>
        <v/>
      </c>
    </row>
    <row r="322">
      <c r="B322" s="33" t="inlineStr">
        <is>
          <t>Ascensores para personas y visitantes</t>
        </is>
      </c>
      <c r="C322" s="46" t="n">
        <v>100</v>
      </c>
      <c r="D322" s="46" t="n">
        <v>22</v>
      </c>
      <c r="E322" s="74" t="n">
        <v>0.6</v>
      </c>
      <c r="F322" s="46" t="n">
        <v>80</v>
      </c>
      <c r="G322" s="33" t="inlineStr">
        <is>
          <t>3. Salud</t>
        </is>
      </c>
      <c r="H322" s="33" t="inlineStr">
        <is>
          <t>3.1 Salas de uso general</t>
        </is>
      </c>
      <c r="R322" s="18">
        <f>G322&amp;"|"&amp;B322</f>
        <v/>
      </c>
    </row>
    <row r="323">
      <c r="B323" s="33" t="inlineStr">
        <is>
          <t>Ascensores de servicio y montacargas</t>
        </is>
      </c>
      <c r="C323" s="46" t="n">
        <v>200</v>
      </c>
      <c r="D323" s="46" t="n">
        <v>22</v>
      </c>
      <c r="E323" s="74" t="n">
        <v>0.6</v>
      </c>
      <c r="F323" s="46" t="n">
        <v>80</v>
      </c>
      <c r="G323" s="33" t="inlineStr">
        <is>
          <t>3. Salud</t>
        </is>
      </c>
      <c r="H323" s="33" t="inlineStr">
        <is>
          <t>3.1 Salas de uso general</t>
        </is>
      </c>
      <c r="R323" s="18">
        <f>G323&amp;"|"&amp;B323</f>
        <v/>
      </c>
    </row>
    <row r="324">
      <c r="B324" s="33" t="inlineStr">
        <is>
          <t>Oficina del personal</t>
        </is>
      </c>
      <c r="C324" s="46" t="n">
        <v>500</v>
      </c>
      <c r="D324" s="46" t="n">
        <v>19</v>
      </c>
      <c r="E324" s="74" t="n">
        <v>0.6</v>
      </c>
      <c r="F324" s="46" t="n">
        <v>80</v>
      </c>
      <c r="G324" s="33" t="inlineStr">
        <is>
          <t>3. Salud</t>
        </is>
      </c>
      <c r="H324" s="33" t="inlineStr">
        <is>
          <t>3.2 Salas de personal</t>
        </is>
      </c>
      <c r="R324" s="18">
        <f>G324&amp;"|"&amp;B324</f>
        <v/>
      </c>
    </row>
    <row r="325">
      <c r="B325" s="33" t="inlineStr">
        <is>
          <t>Salas de guardia, salas de maternidad: Iluminación general</t>
        </is>
      </c>
      <c r="C325" s="46" t="n">
        <v>100</v>
      </c>
      <c r="D325" s="46" t="n">
        <v>19</v>
      </c>
      <c r="E325" s="74" t="n">
        <v>0.4</v>
      </c>
      <c r="F325" s="46" t="n">
        <v>80</v>
      </c>
      <c r="G325" s="33" t="inlineStr">
        <is>
          <t>3. Salud</t>
        </is>
      </c>
      <c r="H325" s="33" t="inlineStr">
        <is>
          <t>3.3 Salas de guardia, salas de maternidad</t>
        </is>
      </c>
      <c r="R325" s="18">
        <f>G325&amp;"|"&amp;B325</f>
        <v/>
      </c>
    </row>
    <row r="326">
      <c r="B326" s="33" t="inlineStr">
        <is>
          <t>Iluminación para la lectura</t>
        </is>
      </c>
      <c r="C326" s="46" t="n">
        <v>300</v>
      </c>
      <c r="D326" s="46" t="n">
        <v>19</v>
      </c>
      <c r="E326" s="74" t="n">
        <v>0.7</v>
      </c>
      <c r="F326" s="46" t="n">
        <v>80</v>
      </c>
      <c r="G326" s="33" t="inlineStr">
        <is>
          <t>3. Salud</t>
        </is>
      </c>
      <c r="H326" s="33" t="inlineStr">
        <is>
          <t>3.3 Salas de guardia, salas de maternidad</t>
        </is>
      </c>
      <c r="R326" s="18">
        <f>G326&amp;"|"&amp;B326</f>
        <v/>
      </c>
    </row>
    <row r="327">
      <c r="B327" s="33" t="inlineStr">
        <is>
          <t>Exámenes generales</t>
        </is>
      </c>
      <c r="C327" s="46" t="n">
        <v>300</v>
      </c>
      <c r="D327" s="46" t="n">
        <v>19</v>
      </c>
      <c r="E327" s="74" t="n">
        <v>0.6</v>
      </c>
      <c r="F327" s="46" t="n">
        <v>80</v>
      </c>
      <c r="G327" s="33" t="inlineStr">
        <is>
          <t>3. Salud</t>
        </is>
      </c>
      <c r="H327" s="33" t="inlineStr">
        <is>
          <t>3.3 Salas de guardia, salas de maternidad</t>
        </is>
      </c>
      <c r="R327" s="18">
        <f>G327&amp;"|"&amp;B327</f>
        <v/>
      </c>
    </row>
    <row r="328">
      <c r="B328" s="33" t="inlineStr">
        <is>
          <t>Exámenes específicos y tratamiento de maternidad</t>
        </is>
      </c>
      <c r="C328" s="46" t="n">
        <v>1000</v>
      </c>
      <c r="D328" s="46" t="n">
        <v>19</v>
      </c>
      <c r="E328" s="74" t="n">
        <v>0.7</v>
      </c>
      <c r="F328" s="46" t="n">
        <v>90</v>
      </c>
      <c r="G328" s="33" t="inlineStr">
        <is>
          <t>3. Salud</t>
        </is>
      </c>
      <c r="H328" s="33" t="inlineStr">
        <is>
          <t>3.3 Salas de guardia, salas de maternidad</t>
        </is>
      </c>
      <c r="R328" s="18">
        <f>G328&amp;"|"&amp;B328</f>
        <v/>
      </c>
    </row>
    <row r="329">
      <c r="B329" s="33" t="inlineStr">
        <is>
          <t>Iluminación nocturna, iluminación de observación</t>
        </is>
      </c>
      <c r="C329" s="46" t="n">
        <v>5</v>
      </c>
      <c r="D329" s="46" t="inlineStr">
        <is>
          <t>—</t>
        </is>
      </c>
      <c r="E329" s="46" t="inlineStr">
        <is>
          <t>—</t>
        </is>
      </c>
      <c r="F329" s="46" t="n">
        <v>80</v>
      </c>
      <c r="G329" s="33" t="inlineStr">
        <is>
          <t>3. Salud</t>
        </is>
      </c>
      <c r="H329" s="33" t="inlineStr">
        <is>
          <t>3.3 Salas de guardia, salas de maternidad</t>
        </is>
      </c>
      <c r="R329" s="18">
        <f>G329&amp;"|"&amp;B329</f>
        <v/>
      </c>
    </row>
    <row r="330">
      <c r="B330" s="33" t="inlineStr">
        <is>
          <t>Baños y tocadores para pacientes</t>
        </is>
      </c>
      <c r="C330" s="46" t="n">
        <v>200</v>
      </c>
      <c r="D330" s="46" t="n">
        <v>22</v>
      </c>
      <c r="E330" s="74" t="n">
        <v>0.4</v>
      </c>
      <c r="F330" s="46" t="n">
        <v>80</v>
      </c>
      <c r="G330" s="33" t="inlineStr">
        <is>
          <t>3. Salud</t>
        </is>
      </c>
      <c r="H330" s="33" t="inlineStr">
        <is>
          <t>3.3 Salas de guardia, salas de maternidad</t>
        </is>
      </c>
      <c r="R330" s="18">
        <f>G330&amp;"|"&amp;B330</f>
        <v/>
      </c>
    </row>
    <row r="331">
      <c r="B331" s="33" t="inlineStr">
        <is>
          <t>Salas de exámenes generales: Alumbrado general</t>
        </is>
      </c>
      <c r="C331" s="46" t="n">
        <v>500</v>
      </c>
      <c r="D331" s="46" t="n">
        <v>19</v>
      </c>
      <c r="E331" s="74" t="n">
        <v>0.6</v>
      </c>
      <c r="F331" s="46" t="n">
        <v>90</v>
      </c>
      <c r="G331" s="33" t="inlineStr">
        <is>
          <t>3. Salud</t>
        </is>
      </c>
      <c r="H331" s="33" t="inlineStr">
        <is>
          <t>3.4 Salas de exámenes generales</t>
        </is>
      </c>
      <c r="R331" s="18">
        <f>G331&amp;"|"&amp;B331</f>
        <v/>
      </c>
    </row>
    <row r="332">
      <c r="B332" s="33" t="inlineStr">
        <is>
          <t>Salas de exámenes generales: Examen y tratamiento</t>
        </is>
      </c>
      <c r="C332" s="46" t="n">
        <v>1000</v>
      </c>
      <c r="D332" s="46" t="n">
        <v>19</v>
      </c>
      <c r="E332" s="74" t="n">
        <v>0.7</v>
      </c>
      <c r="F332" s="46" t="n">
        <v>90</v>
      </c>
      <c r="G332" s="33" t="inlineStr">
        <is>
          <t>3. Salud</t>
        </is>
      </c>
      <c r="H332" s="33" t="inlineStr">
        <is>
          <t>3.4 Salas de exámenes generales</t>
        </is>
      </c>
      <c r="R332" s="18">
        <f>G332&amp;"|"&amp;B332</f>
        <v/>
      </c>
    </row>
    <row r="333">
      <c r="B333" s="33" t="inlineStr">
        <is>
          <t>Salas de examen ocular: Alumbrado general</t>
        </is>
      </c>
      <c r="C333" s="46" t="n">
        <v>500</v>
      </c>
      <c r="D333" s="46" t="n">
        <v>19</v>
      </c>
      <c r="E333" s="74" t="n">
        <v>0.6</v>
      </c>
      <c r="F333" s="46" t="n">
        <v>90</v>
      </c>
      <c r="G333" s="33" t="inlineStr">
        <is>
          <t>3. Salud</t>
        </is>
      </c>
      <c r="H333" s="33" t="inlineStr">
        <is>
          <t>3.5 Salas de examen ocular</t>
        </is>
      </c>
      <c r="R333" s="18">
        <f>G333&amp;"|"&amp;B333</f>
        <v/>
      </c>
    </row>
    <row r="334">
      <c r="B334" s="33" t="inlineStr">
        <is>
          <t>Exámenes ocular</t>
        </is>
      </c>
      <c r="C334" s="46" t="n">
        <v>1000</v>
      </c>
      <c r="D334" s="46" t="inlineStr">
        <is>
          <t>—</t>
        </is>
      </c>
      <c r="E334" s="46" t="inlineStr">
        <is>
          <t>—</t>
        </is>
      </c>
      <c r="F334" s="46" t="n">
        <v>90</v>
      </c>
      <c r="G334" s="33" t="inlineStr">
        <is>
          <t>3. Salud</t>
        </is>
      </c>
      <c r="H334" s="33" t="inlineStr">
        <is>
          <t>3.5 Salas de examen ocular</t>
        </is>
      </c>
      <c r="R334" s="18">
        <f>G334&amp;"|"&amp;B334</f>
        <v/>
      </c>
    </row>
    <row r="335">
      <c r="B335" s="33" t="inlineStr">
        <is>
          <t>Prueba de lectura y visión cromática con diagrama de visión</t>
        </is>
      </c>
      <c r="C335" s="46" t="n">
        <v>500</v>
      </c>
      <c r="D335" s="46" t="n">
        <v>16</v>
      </c>
      <c r="E335" s="74" t="n">
        <v>0.7</v>
      </c>
      <c r="F335" s="46" t="n">
        <v>90</v>
      </c>
      <c r="G335" s="33" t="inlineStr">
        <is>
          <t>3. Salud</t>
        </is>
      </c>
      <c r="H335" s="33" t="inlineStr">
        <is>
          <t>3.5 Salas de examen ocular</t>
        </is>
      </c>
      <c r="R335" s="18">
        <f>G335&amp;"|"&amp;B335</f>
        <v/>
      </c>
    </row>
    <row r="336">
      <c r="B336" s="33" t="inlineStr">
        <is>
          <t>Salas de examen auditivo: Alumbrado general</t>
        </is>
      </c>
      <c r="C336" s="46" t="n">
        <v>300</v>
      </c>
      <c r="D336" s="46" t="n">
        <v>19</v>
      </c>
      <c r="E336" s="74" t="n">
        <v>0.6</v>
      </c>
      <c r="F336" s="46" t="n">
        <v>80</v>
      </c>
      <c r="G336" s="33" t="inlineStr">
        <is>
          <t>3. Salud</t>
        </is>
      </c>
      <c r="H336" s="33" t="inlineStr">
        <is>
          <t>3.6 Salas de examen auditivo</t>
        </is>
      </c>
      <c r="R336" s="18">
        <f>G336&amp;"|"&amp;B336</f>
        <v/>
      </c>
    </row>
    <row r="337">
      <c r="B337" s="33" t="inlineStr">
        <is>
          <t>Examen auditivo</t>
        </is>
      </c>
      <c r="C337" s="46" t="n">
        <v>1000</v>
      </c>
      <c r="D337" s="46" t="inlineStr">
        <is>
          <t>—</t>
        </is>
      </c>
      <c r="E337" s="46" t="inlineStr">
        <is>
          <t>—</t>
        </is>
      </c>
      <c r="F337" s="46" t="n">
        <v>90</v>
      </c>
      <c r="G337" s="33" t="inlineStr">
        <is>
          <t>3. Salud</t>
        </is>
      </c>
      <c r="H337" s="33" t="inlineStr">
        <is>
          <t>3.6 Salas de examen auditivo</t>
        </is>
      </c>
      <c r="R337" s="18">
        <f>G337&amp;"|"&amp;B337</f>
        <v/>
      </c>
    </row>
    <row r="338">
      <c r="B338" s="33" t="inlineStr">
        <is>
          <t>Salas de escáner: Alumbrado general</t>
        </is>
      </c>
      <c r="C338" s="46" t="n">
        <v>300</v>
      </c>
      <c r="D338" s="46" t="n">
        <v>19</v>
      </c>
      <c r="E338" s="74" t="n">
        <v>0.6</v>
      </c>
      <c r="F338" s="46" t="n">
        <v>80</v>
      </c>
      <c r="G338" s="33" t="inlineStr">
        <is>
          <t>3. Salud</t>
        </is>
      </c>
      <c r="H338" s="33" t="inlineStr">
        <is>
          <t>3.7 Salas de escáner</t>
        </is>
      </c>
      <c r="R338" s="18">
        <f>G338&amp;"|"&amp;B338</f>
        <v/>
      </c>
    </row>
    <row r="339">
      <c r="B339" s="33" t="inlineStr">
        <is>
          <t>Escáners con aumentadores de imágenes y sistemas de TV</t>
        </is>
      </c>
      <c r="C339" s="46" t="n">
        <v>50</v>
      </c>
      <c r="D339" s="46" t="n">
        <v>19</v>
      </c>
      <c r="E339" s="46" t="inlineStr">
        <is>
          <t>—</t>
        </is>
      </c>
      <c r="F339" s="46" t="n">
        <v>80</v>
      </c>
      <c r="G339" s="33" t="inlineStr">
        <is>
          <t>3. Salud</t>
        </is>
      </c>
      <c r="H339" s="33" t="inlineStr">
        <is>
          <t>3.7 Salas de escáner</t>
        </is>
      </c>
      <c r="R339" s="18">
        <f>G339&amp;"|"&amp;B339</f>
        <v/>
      </c>
    </row>
    <row r="340">
      <c r="B340" s="33" t="inlineStr">
        <is>
          <t>Salas de parto: Alumbrado general</t>
        </is>
      </c>
      <c r="C340" s="46" t="n">
        <v>300</v>
      </c>
      <c r="D340" s="46" t="n">
        <v>19</v>
      </c>
      <c r="E340" s="74" t="n">
        <v>0.6</v>
      </c>
      <c r="F340" s="46" t="n">
        <v>90</v>
      </c>
      <c r="G340" s="33" t="inlineStr">
        <is>
          <t>3. Salud</t>
        </is>
      </c>
      <c r="H340" s="33" t="inlineStr">
        <is>
          <t>3.8 Salas de parto</t>
        </is>
      </c>
      <c r="R340" s="18">
        <f>G340&amp;"|"&amp;B340</f>
        <v/>
      </c>
    </row>
    <row r="341">
      <c r="B341" s="33" t="inlineStr">
        <is>
          <t>Salas de parto: Examen y tratamiento</t>
        </is>
      </c>
      <c r="C341" s="46" t="n">
        <v>1000</v>
      </c>
      <c r="D341" s="46" t="n">
        <v>19</v>
      </c>
      <c r="E341" s="74" t="n">
        <v>0.7</v>
      </c>
      <c r="F341" s="46" t="n">
        <v>90</v>
      </c>
      <c r="G341" s="33" t="inlineStr">
        <is>
          <t>3. Salud</t>
        </is>
      </c>
      <c r="H341" s="33" t="inlineStr">
        <is>
          <t>3.8 Salas de parto</t>
        </is>
      </c>
      <c r="R341" s="18">
        <f>G341&amp;"|"&amp;B341</f>
        <v/>
      </c>
    </row>
    <row r="342">
      <c r="B342" s="33" t="inlineStr">
        <is>
          <t>Salas de diálisis</t>
        </is>
      </c>
      <c r="C342" s="46" t="n">
        <v>500</v>
      </c>
      <c r="D342" s="46" t="n">
        <v>19</v>
      </c>
      <c r="E342" s="74" t="n">
        <v>0.6</v>
      </c>
      <c r="F342" s="46" t="n">
        <v>80</v>
      </c>
      <c r="G342" s="33" t="inlineStr">
        <is>
          <t>3. Salud</t>
        </is>
      </c>
      <c r="H342" s="33" t="inlineStr">
        <is>
          <t>Salas de tratamiento (general)</t>
        </is>
      </c>
      <c r="R342" s="18">
        <f>G342&amp;"|"&amp;B342</f>
        <v/>
      </c>
    </row>
    <row r="343">
      <c r="B343" s="33" t="inlineStr">
        <is>
          <t>Salas de dermatología</t>
        </is>
      </c>
      <c r="C343" s="46" t="n">
        <v>500</v>
      </c>
      <c r="D343" s="46" t="n">
        <v>19</v>
      </c>
      <c r="E343" s="74" t="n">
        <v>0.6</v>
      </c>
      <c r="F343" s="46" t="n">
        <v>90</v>
      </c>
      <c r="G343" s="33" t="inlineStr">
        <is>
          <t>3. Salud</t>
        </is>
      </c>
      <c r="H343" s="33" t="inlineStr">
        <is>
          <t>Salas de tratamiento (general)</t>
        </is>
      </c>
      <c r="R343" s="18">
        <f>G343&amp;"|"&amp;B343</f>
        <v/>
      </c>
    </row>
    <row r="344">
      <c r="B344" s="33" t="inlineStr">
        <is>
          <t>Salas de endoscopías</t>
        </is>
      </c>
      <c r="C344" s="46" t="n">
        <v>300</v>
      </c>
      <c r="D344" s="46" t="n">
        <v>19</v>
      </c>
      <c r="E344" s="74" t="n">
        <v>0.6</v>
      </c>
      <c r="F344" s="46" t="n">
        <v>80</v>
      </c>
      <c r="G344" s="33" t="inlineStr">
        <is>
          <t>3. Salud</t>
        </is>
      </c>
      <c r="H344" s="33" t="inlineStr">
        <is>
          <t>Salas de tratamiento (general)</t>
        </is>
      </c>
      <c r="R344" s="18">
        <f>G344&amp;"|"&amp;B344</f>
        <v/>
      </c>
    </row>
    <row r="345">
      <c r="B345" s="33" t="inlineStr">
        <is>
          <t>Salas de enyesar</t>
        </is>
      </c>
      <c r="C345" s="46" t="n">
        <v>500</v>
      </c>
      <c r="D345" s="46" t="n">
        <v>19</v>
      </c>
      <c r="E345" s="74" t="n">
        <v>0.6</v>
      </c>
      <c r="F345" s="46" t="n">
        <v>80</v>
      </c>
      <c r="G345" s="33" t="inlineStr">
        <is>
          <t>3. Salud</t>
        </is>
      </c>
      <c r="H345" s="33" t="inlineStr">
        <is>
          <t>Salas de tratamiento (general)</t>
        </is>
      </c>
      <c r="R345" s="18">
        <f>G345&amp;"|"&amp;B345</f>
        <v/>
      </c>
    </row>
    <row r="346">
      <c r="B346" s="33" t="inlineStr">
        <is>
          <t>Baños de médicos</t>
        </is>
      </c>
      <c r="C346" s="46" t="n">
        <v>300</v>
      </c>
      <c r="D346" s="46" t="n">
        <v>19</v>
      </c>
      <c r="E346" s="74" t="n">
        <v>0.6</v>
      </c>
      <c r="F346" s="46" t="n">
        <v>80</v>
      </c>
      <c r="G346" s="33" t="inlineStr">
        <is>
          <t>3. Salud</t>
        </is>
      </c>
      <c r="H346" s="33" t="inlineStr">
        <is>
          <t>Salas de tratamiento (general)</t>
        </is>
      </c>
      <c r="R346" s="18">
        <f>G346&amp;"|"&amp;B346</f>
        <v/>
      </c>
    </row>
    <row r="347">
      <c r="B347" s="33" t="inlineStr">
        <is>
          <t>Masaje y radioterapia</t>
        </is>
      </c>
      <c r="C347" s="46" t="n">
        <v>300</v>
      </c>
      <c r="D347" s="46" t="n">
        <v>19</v>
      </c>
      <c r="E347" s="74" t="n">
        <v>0.6</v>
      </c>
      <c r="F347" s="46" t="n">
        <v>80</v>
      </c>
      <c r="G347" s="33" t="inlineStr">
        <is>
          <t>3. Salud</t>
        </is>
      </c>
      <c r="H347" s="33" t="inlineStr">
        <is>
          <t>Salas de tratamiento (general)</t>
        </is>
      </c>
      <c r="R347" s="18">
        <f>G347&amp;"|"&amp;B347</f>
        <v/>
      </c>
    </row>
    <row r="348">
      <c r="B348" s="33" t="inlineStr">
        <is>
          <t>Salas pre-operatorias y de recuperación</t>
        </is>
      </c>
      <c r="C348" s="46" t="n">
        <v>500</v>
      </c>
      <c r="D348" s="46" t="n">
        <v>19</v>
      </c>
      <c r="E348" s="74" t="n">
        <v>0.6</v>
      </c>
      <c r="F348" s="46" t="n">
        <v>90</v>
      </c>
      <c r="G348" s="33" t="inlineStr">
        <is>
          <t>3. Salud</t>
        </is>
      </c>
      <c r="H348" s="33" t="inlineStr">
        <is>
          <t>3.9 Áreas de operación</t>
        </is>
      </c>
      <c r="R348" s="18">
        <f>G348&amp;"|"&amp;B348</f>
        <v/>
      </c>
    </row>
    <row r="349">
      <c r="B349" s="33" t="inlineStr">
        <is>
          <t>Sala de operaciones</t>
        </is>
      </c>
      <c r="C349" s="46" t="n">
        <v>1000</v>
      </c>
      <c r="D349" s="46" t="n">
        <v>19</v>
      </c>
      <c r="E349" s="74" t="n">
        <v>0.6</v>
      </c>
      <c r="F349" s="46" t="n">
        <v>90</v>
      </c>
      <c r="G349" s="33" t="inlineStr">
        <is>
          <t>3. Salud</t>
        </is>
      </c>
      <c r="H349" s="33" t="inlineStr">
        <is>
          <t>3.9 Áreas de operación</t>
        </is>
      </c>
      <c r="R349" s="18">
        <f>G349&amp;"|"&amp;B349</f>
        <v/>
      </c>
    </row>
    <row r="350">
      <c r="B350" s="33" t="inlineStr">
        <is>
          <t>Unidad de cuidados intensivos: Iluminación general</t>
        </is>
      </c>
      <c r="C350" s="46" t="n">
        <v>100</v>
      </c>
      <c r="D350" s="46" t="n">
        <v>19</v>
      </c>
      <c r="E350" s="74" t="n">
        <v>0.6</v>
      </c>
      <c r="F350" s="46" t="n">
        <v>90</v>
      </c>
      <c r="G350" s="33" t="inlineStr">
        <is>
          <t>3. Salud</t>
        </is>
      </c>
      <c r="H350" s="33" t="inlineStr">
        <is>
          <t>3.10 Unidad de cuidados intensivos</t>
        </is>
      </c>
      <c r="R350" s="18">
        <f>G350&amp;"|"&amp;B350</f>
        <v/>
      </c>
    </row>
    <row r="351">
      <c r="B351" s="33" t="inlineStr">
        <is>
          <t>Exámenes sencillos</t>
        </is>
      </c>
      <c r="C351" s="46" t="n">
        <v>300</v>
      </c>
      <c r="D351" s="46" t="n">
        <v>19</v>
      </c>
      <c r="E351" s="74" t="n">
        <v>0.6</v>
      </c>
      <c r="F351" s="46" t="n">
        <v>90</v>
      </c>
      <c r="G351" s="33" t="inlineStr">
        <is>
          <t>3. Salud</t>
        </is>
      </c>
      <c r="H351" s="33" t="inlineStr">
        <is>
          <t>3.10 Unidad de cuidados intensivos</t>
        </is>
      </c>
      <c r="R351" s="18">
        <f>G351&amp;"|"&amp;B351</f>
        <v/>
      </c>
    </row>
    <row r="352">
      <c r="B352" s="33" t="inlineStr">
        <is>
          <t>Exámenes y tratamiento</t>
        </is>
      </c>
      <c r="C352" s="46" t="n">
        <v>1000</v>
      </c>
      <c r="D352" s="46" t="n">
        <v>19</v>
      </c>
      <c r="E352" s="74" t="n">
        <v>0.7</v>
      </c>
      <c r="F352" s="46" t="n">
        <v>90</v>
      </c>
      <c r="G352" s="33" t="inlineStr">
        <is>
          <t>3. Salud</t>
        </is>
      </c>
      <c r="H352" s="33" t="inlineStr">
        <is>
          <t>3.10 Unidad de cuidados intensivos</t>
        </is>
      </c>
      <c r="R352" s="18">
        <f>G352&amp;"|"&amp;B352</f>
        <v/>
      </c>
    </row>
    <row r="353">
      <c r="B353" s="33" t="inlineStr">
        <is>
          <t>Vigilancia nocturna</t>
        </is>
      </c>
      <c r="C353" s="46" t="n">
        <v>20</v>
      </c>
      <c r="D353" s="46" t="n">
        <v>19</v>
      </c>
      <c r="E353" s="46" t="inlineStr">
        <is>
          <t>—</t>
        </is>
      </c>
      <c r="F353" s="46" t="n">
        <v>90</v>
      </c>
      <c r="G353" s="33" t="inlineStr">
        <is>
          <t>3. Salud</t>
        </is>
      </c>
      <c r="H353" s="33" t="inlineStr">
        <is>
          <t>3.10 Unidad de cuidados intensivos</t>
        </is>
      </c>
      <c r="R353" s="18">
        <f>G353&amp;"|"&amp;B353</f>
        <v/>
      </c>
    </row>
    <row r="354">
      <c r="B354" s="33" t="inlineStr">
        <is>
          <t>Dentistas: Iluminación general</t>
        </is>
      </c>
      <c r="C354" s="46" t="n">
        <v>500</v>
      </c>
      <c r="D354" s="46" t="n">
        <v>19</v>
      </c>
      <c r="E354" s="74" t="n">
        <v>0.6</v>
      </c>
      <c r="F354" s="46" t="n">
        <v>90</v>
      </c>
      <c r="G354" s="33" t="inlineStr">
        <is>
          <t>3. Salud</t>
        </is>
      </c>
      <c r="H354" s="33" t="inlineStr">
        <is>
          <t>Dentistas</t>
        </is>
      </c>
      <c r="R354" s="18">
        <f>G354&amp;"|"&amp;B354</f>
        <v/>
      </c>
    </row>
    <row r="355">
      <c r="B355" s="33" t="inlineStr">
        <is>
          <t>En el paciente</t>
        </is>
      </c>
      <c r="C355" s="46" t="n">
        <v>1000</v>
      </c>
      <c r="D355" s="46" t="inlineStr">
        <is>
          <t>—</t>
        </is>
      </c>
      <c r="E355" s="74" t="n">
        <v>0.7</v>
      </c>
      <c r="F355" s="46" t="n">
        <v>90</v>
      </c>
      <c r="G355" s="33" t="inlineStr">
        <is>
          <t>3. Salud</t>
        </is>
      </c>
      <c r="H355" s="33" t="inlineStr">
        <is>
          <t>Dentistas</t>
        </is>
      </c>
      <c r="R355" s="18">
        <f>G355&amp;"|"&amp;B355</f>
        <v/>
      </c>
    </row>
    <row r="356">
      <c r="B356" s="33" t="inlineStr">
        <is>
          <t>Laboratorios y farmacias: Alumbrado general</t>
        </is>
      </c>
      <c r="C356" s="46" t="n">
        <v>500</v>
      </c>
      <c r="D356" s="46" t="n">
        <v>19</v>
      </c>
      <c r="E356" s="74" t="n">
        <v>0.6</v>
      </c>
      <c r="F356" s="46" t="n">
        <v>80</v>
      </c>
      <c r="G356" s="33" t="inlineStr">
        <is>
          <t>3. Salud</t>
        </is>
      </c>
      <c r="H356" s="33" t="inlineStr">
        <is>
          <t>3.11 Laboratorios y farmacias</t>
        </is>
      </c>
      <c r="R356" s="18">
        <f>G356&amp;"|"&amp;B356</f>
        <v/>
      </c>
    </row>
    <row r="357">
      <c r="B357" s="33" t="inlineStr">
        <is>
          <t>Inspección de colores</t>
        </is>
      </c>
      <c r="C357" s="46" t="n">
        <v>1000</v>
      </c>
      <c r="D357" s="46" t="n">
        <v>19</v>
      </c>
      <c r="E357" s="74" t="n">
        <v>0.7</v>
      </c>
      <c r="F357" s="46" t="n">
        <v>90</v>
      </c>
      <c r="G357" s="33" t="inlineStr">
        <is>
          <t>3. Salud</t>
        </is>
      </c>
      <c r="H357" s="33" t="inlineStr">
        <is>
          <t>3.11 Laboratorios y farmacias</t>
        </is>
      </c>
      <c r="R357" s="18">
        <f>G357&amp;"|"&amp;B357</f>
        <v/>
      </c>
    </row>
    <row r="358">
      <c r="B358" s="33" t="inlineStr">
        <is>
          <t>Salas de esterilización</t>
        </is>
      </c>
      <c r="C358" s="46" t="n">
        <v>300</v>
      </c>
      <c r="D358" s="46" t="n">
        <v>22</v>
      </c>
      <c r="E358" s="74" t="n">
        <v>0.6</v>
      </c>
      <c r="F358" s="46" t="n">
        <v>80</v>
      </c>
      <c r="G358" s="33" t="inlineStr">
        <is>
          <t>3. Salud</t>
        </is>
      </c>
      <c r="H358" s="33" t="inlineStr">
        <is>
          <t>3.12 Salas de descontaminación</t>
        </is>
      </c>
      <c r="R358" s="18">
        <f>G358&amp;"|"&amp;B358</f>
        <v/>
      </c>
    </row>
    <row r="359">
      <c r="B359" s="33" t="inlineStr">
        <is>
          <t>Salas de desinfección</t>
        </is>
      </c>
      <c r="C359" s="46" t="n">
        <v>300</v>
      </c>
      <c r="D359" s="46" t="n">
        <v>22</v>
      </c>
      <c r="E359" s="74" t="n">
        <v>0.6</v>
      </c>
      <c r="F359" s="46" t="n">
        <v>80</v>
      </c>
      <c r="G359" s="33" t="inlineStr">
        <is>
          <t>3. Salud</t>
        </is>
      </c>
      <c r="H359" s="33" t="inlineStr">
        <is>
          <t>3.12 Salas de descontaminación</t>
        </is>
      </c>
      <c r="R359" s="18">
        <f>G359&amp;"|"&amp;B359</f>
        <v/>
      </c>
    </row>
    <row r="360">
      <c r="B360" s="33" t="inlineStr">
        <is>
          <t>Sala de autopsias y depósitos mortuorios: Alumbrado general</t>
        </is>
      </c>
      <c r="C360" s="46" t="n">
        <v>500</v>
      </c>
      <c r="D360" s="46" t="n">
        <v>19</v>
      </c>
      <c r="E360" s="74" t="n">
        <v>0.6</v>
      </c>
      <c r="F360" s="46" t="n">
        <v>90</v>
      </c>
      <c r="G360" s="33" t="inlineStr">
        <is>
          <t>3. Salud</t>
        </is>
      </c>
      <c r="H360" s="33" t="inlineStr">
        <is>
          <t>3.13 Sala de autopsias y depósitos mortuorios</t>
        </is>
      </c>
      <c r="R360" s="18">
        <f>G360&amp;"|"&amp;B360</f>
        <v/>
      </c>
    </row>
    <row r="361">
      <c r="B361" s="33" t="inlineStr">
        <is>
          <t>Mesa de autopsias y mesa de disección</t>
        </is>
      </c>
      <c r="C361" s="46" t="n">
        <v>5000</v>
      </c>
      <c r="D361" s="46" t="inlineStr">
        <is>
          <t>—</t>
        </is>
      </c>
      <c r="E361" s="46" t="inlineStr">
        <is>
          <t>—</t>
        </is>
      </c>
      <c r="F361" s="46" t="n">
        <v>90</v>
      </c>
      <c r="G361" s="33" t="inlineStr">
        <is>
          <t>3. Salud</t>
        </is>
      </c>
      <c r="H361" s="33" t="inlineStr">
        <is>
          <t>3.13 Sala de autopsias y depósitos mortuorios</t>
        </is>
      </c>
      <c r="R361" s="18">
        <f>G361&amp;"|"&amp;B361</f>
        <v/>
      </c>
    </row>
    <row r="362">
      <c r="B362" s="33" t="inlineStr">
        <is>
          <t>Carga y operación de mercancías y equipos y maquinaria de manipulación de mercancías</t>
        </is>
      </c>
      <c r="C362" s="46" t="n">
        <v>200</v>
      </c>
      <c r="D362" s="46" t="n">
        <v>25</v>
      </c>
      <c r="E362" s="74" t="n">
        <v>0.4</v>
      </c>
      <c r="F362" s="46" t="n">
        <v>80</v>
      </c>
      <c r="G362" s="33" t="inlineStr">
        <is>
          <t>4. Industria</t>
        </is>
      </c>
      <c r="H362" s="33" t="inlineStr">
        <is>
          <t>4.1 Agricultura</t>
        </is>
      </c>
      <c r="R362" s="18">
        <f>G362&amp;"|"&amp;B362</f>
        <v/>
      </c>
    </row>
    <row r="363">
      <c r="B363" s="33" t="inlineStr">
        <is>
          <t>Edificación para ganadería</t>
        </is>
      </c>
      <c r="C363" s="46" t="n">
        <v>50</v>
      </c>
      <c r="D363" s="46" t="inlineStr">
        <is>
          <t>—</t>
        </is>
      </c>
      <c r="E363" s="74" t="n">
        <v>0.4</v>
      </c>
      <c r="F363" s="46" t="n">
        <v>40</v>
      </c>
      <c r="G363" s="33" t="inlineStr">
        <is>
          <t>4. Industria</t>
        </is>
      </c>
      <c r="H363" s="33" t="inlineStr">
        <is>
          <t>4.1 Agricultura</t>
        </is>
      </c>
      <c r="R363" s="18">
        <f>G363&amp;"|"&amp;B363</f>
        <v/>
      </c>
    </row>
    <row r="364">
      <c r="B364" s="33" t="inlineStr">
        <is>
          <t>Sala de veterinaria, establos para parir</t>
        </is>
      </c>
      <c r="C364" s="46" t="n">
        <v>200</v>
      </c>
      <c r="D364" s="46" t="n">
        <v>25</v>
      </c>
      <c r="E364" s="74" t="n">
        <v>0.4</v>
      </c>
      <c r="F364" s="46" t="n">
        <v>80</v>
      </c>
      <c r="G364" s="33" t="inlineStr">
        <is>
          <t>4. Industria</t>
        </is>
      </c>
      <c r="H364" s="33" t="inlineStr">
        <is>
          <t>4.1 Agricultura</t>
        </is>
      </c>
      <c r="R364" s="18">
        <f>G364&amp;"|"&amp;B364</f>
        <v/>
      </c>
    </row>
    <row r="365">
      <c r="B365" s="33" t="inlineStr">
        <is>
          <t>Preparación de alimentos, lechería, lavado de utensilios</t>
        </is>
      </c>
      <c r="C365" s="46" t="n">
        <v>200</v>
      </c>
      <c r="D365" s="46" t="n">
        <v>25</v>
      </c>
      <c r="E365" s="74" t="n">
        <v>0.6</v>
      </c>
      <c r="F365" s="46" t="n">
        <v>80</v>
      </c>
      <c r="G365" s="33" t="inlineStr">
        <is>
          <t>4. Industria</t>
        </is>
      </c>
      <c r="H365" s="33" t="inlineStr">
        <is>
          <t>4.1 Agricultura</t>
        </is>
      </c>
      <c r="R365" s="18">
        <f>G365&amp;"|"&amp;B365</f>
        <v/>
      </c>
    </row>
    <row r="366">
      <c r="B366" s="33" t="inlineStr">
        <is>
          <t>Preparación y horneado</t>
        </is>
      </c>
      <c r="C366" s="46" t="n">
        <v>300</v>
      </c>
      <c r="D366" s="46" t="n">
        <v>22</v>
      </c>
      <c r="E366" s="74" t="n">
        <v>0.6</v>
      </c>
      <c r="F366" s="46" t="n">
        <v>80</v>
      </c>
      <c r="G366" s="33" t="inlineStr">
        <is>
          <t>4. Industria</t>
        </is>
      </c>
      <c r="H366" s="33" t="inlineStr">
        <is>
          <t>Panaderías</t>
        </is>
      </c>
      <c r="R366" s="18">
        <f>G366&amp;"|"&amp;B366</f>
        <v/>
      </c>
    </row>
    <row r="367">
      <c r="B367" s="33" t="inlineStr">
        <is>
          <t>Terminado, escarchado, decoración</t>
        </is>
      </c>
      <c r="C367" s="46" t="n">
        <v>500</v>
      </c>
      <c r="D367" s="46" t="n">
        <v>22</v>
      </c>
      <c r="E367" s="74" t="n">
        <v>0.7</v>
      </c>
      <c r="F367" s="46" t="n">
        <v>80</v>
      </c>
      <c r="G367" s="33" t="inlineStr">
        <is>
          <t>4. Industria</t>
        </is>
      </c>
      <c r="H367" s="33" t="inlineStr">
        <is>
          <t>Panaderías</t>
        </is>
      </c>
      <c r="R367" s="18">
        <f>G367&amp;"|"&amp;B367</f>
        <v/>
      </c>
    </row>
    <row r="368">
      <c r="B368" s="33" t="inlineStr">
        <is>
          <t>Cemento, concreto, ladrillos: Secado</t>
        </is>
      </c>
      <c r="C368" s="46" t="n">
        <v>50</v>
      </c>
      <c r="D368" s="46" t="n">
        <v>28</v>
      </c>
      <c r="E368" s="74" t="n">
        <v>0.4</v>
      </c>
      <c r="F368" s="46" t="n">
        <v>20</v>
      </c>
      <c r="G368" s="33" t="inlineStr">
        <is>
          <t>4. Industria</t>
        </is>
      </c>
      <c r="H368" s="33" t="inlineStr">
        <is>
          <t>4.2 Cemento, concreto, ladrillos</t>
        </is>
      </c>
      <c r="R368" s="18">
        <f>G368&amp;"|"&amp;B368</f>
        <v/>
      </c>
    </row>
    <row r="369">
      <c r="B369" s="33" t="inlineStr">
        <is>
          <t>Preparación de materiales, trabajo en hornos y mezcladores</t>
        </is>
      </c>
      <c r="C369" s="46" t="n">
        <v>200</v>
      </c>
      <c r="D369" s="46" t="n">
        <v>28</v>
      </c>
      <c r="E369" s="74" t="n">
        <v>0.4</v>
      </c>
      <c r="F369" s="46" t="n">
        <v>40</v>
      </c>
      <c r="G369" s="33" t="inlineStr">
        <is>
          <t>4. Industria</t>
        </is>
      </c>
      <c r="H369" s="33" t="inlineStr">
        <is>
          <t>4.2 Cemento, concreto, ladrillos</t>
        </is>
      </c>
      <c r="R369" s="18">
        <f>G369&amp;"|"&amp;B369</f>
        <v/>
      </c>
    </row>
    <row r="370">
      <c r="B370" s="33" t="inlineStr">
        <is>
          <t>Trabajo en máquinas en general</t>
        </is>
      </c>
      <c r="C370" s="46" t="n">
        <v>300</v>
      </c>
      <c r="D370" s="46" t="n">
        <v>25</v>
      </c>
      <c r="E370" s="74" t="n">
        <v>0.6</v>
      </c>
      <c r="F370" s="46" t="n">
        <v>80</v>
      </c>
      <c r="G370" s="33" t="inlineStr">
        <is>
          <t>4. Industria</t>
        </is>
      </c>
      <c r="H370" s="33" t="inlineStr">
        <is>
          <t>4.2 Cemento, concreto, ladrillos</t>
        </is>
      </c>
      <c r="R370" s="18">
        <f>G370&amp;"|"&amp;B370</f>
        <v/>
      </c>
    </row>
    <row r="371">
      <c r="B371" s="33" t="inlineStr">
        <is>
          <t>Encofrado</t>
        </is>
      </c>
      <c r="C371" s="46" t="n">
        <v>300</v>
      </c>
      <c r="D371" s="46" t="n">
        <v>25</v>
      </c>
      <c r="E371" s="74" t="n">
        <v>0.6</v>
      </c>
      <c r="F371" s="46" t="n">
        <v>80</v>
      </c>
      <c r="G371" s="33" t="inlineStr">
        <is>
          <t>4. Industria</t>
        </is>
      </c>
      <c r="H371" s="33" t="inlineStr">
        <is>
          <t>4.2 Cemento, concreto, ladrillos</t>
        </is>
      </c>
      <c r="R371" s="18">
        <f>G371&amp;"|"&amp;B371</f>
        <v/>
      </c>
    </row>
    <row r="372">
      <c r="B372" s="33" t="inlineStr">
        <is>
          <t>Cerámicas, tejas, vidrio: Secado</t>
        </is>
      </c>
      <c r="C372" s="46" t="n">
        <v>50</v>
      </c>
      <c r="D372" s="46" t="n">
        <v>28</v>
      </c>
      <c r="E372" s="74" t="n">
        <v>0.4</v>
      </c>
      <c r="F372" s="46" t="n">
        <v>20</v>
      </c>
      <c r="G372" s="33" t="inlineStr">
        <is>
          <t>4. Industria</t>
        </is>
      </c>
      <c r="H372" s="33" t="inlineStr">
        <is>
          <t>4.3 Cerámicas, tejas, vidrio</t>
        </is>
      </c>
      <c r="R372" s="18">
        <f>G372&amp;"|"&amp;B372</f>
        <v/>
      </c>
    </row>
    <row r="373">
      <c r="B373" s="33" t="inlineStr">
        <is>
          <t>Preparación, trabajo en máquinas en general</t>
        </is>
      </c>
      <c r="C373" s="46" t="n">
        <v>300</v>
      </c>
      <c r="D373" s="46" t="n">
        <v>25</v>
      </c>
      <c r="E373" s="74" t="n">
        <v>0.6</v>
      </c>
      <c r="F373" s="46" t="n">
        <v>80</v>
      </c>
      <c r="G373" s="33" t="inlineStr">
        <is>
          <t>4. Industria</t>
        </is>
      </c>
      <c r="H373" s="33" t="inlineStr">
        <is>
          <t>4.3 Cerámicas, tejas, vidrio</t>
        </is>
      </c>
      <c r="R373" s="18">
        <f>G373&amp;"|"&amp;B373</f>
        <v/>
      </c>
    </row>
    <row r="374">
      <c r="B374" s="33" t="inlineStr">
        <is>
          <t>Esmaltado, laminado, prensado, conformación de partes sencillas, escarchado, soplado del vidrio</t>
        </is>
      </c>
      <c r="C374" s="46" t="n">
        <v>300</v>
      </c>
      <c r="D374" s="46" t="n">
        <v>25</v>
      </c>
      <c r="E374" s="74" t="n">
        <v>0.6</v>
      </c>
      <c r="F374" s="46" t="n">
        <v>80</v>
      </c>
      <c r="G374" s="33" t="inlineStr">
        <is>
          <t>4. Industria</t>
        </is>
      </c>
      <c r="H374" s="33" t="inlineStr">
        <is>
          <t>4.3 Cerámicas, tejas, vidrio</t>
        </is>
      </c>
      <c r="R374" s="18">
        <f>G374&amp;"|"&amp;B374</f>
        <v/>
      </c>
    </row>
    <row r="375">
      <c r="B375" s="33" t="inlineStr">
        <is>
          <t>Trituración, estampado, pulido del vidrio, conformación de partes precisas, fabricación de instrumentos de vidrio</t>
        </is>
      </c>
      <c r="C375" s="46" t="n">
        <v>750</v>
      </c>
      <c r="D375" s="46" t="n">
        <v>19</v>
      </c>
      <c r="E375" s="74" t="n">
        <v>0.7</v>
      </c>
      <c r="F375" s="46" t="n">
        <v>80</v>
      </c>
      <c r="G375" s="33" t="inlineStr">
        <is>
          <t>4. Industria</t>
        </is>
      </c>
      <c r="H375" s="33" t="inlineStr">
        <is>
          <t>4.3 Cerámicas, tejas, vidrio</t>
        </is>
      </c>
      <c r="R375" s="18">
        <f>G375&amp;"|"&amp;B375</f>
        <v/>
      </c>
    </row>
    <row r="376">
      <c r="B376" s="33" t="inlineStr">
        <is>
          <t>Trabajo de precisión (triturado decorativo, pintura a mano)</t>
        </is>
      </c>
      <c r="C376" s="46" t="n">
        <v>750</v>
      </c>
      <c r="D376" s="46" t="n">
        <v>16</v>
      </c>
      <c r="E376" s="74" t="n">
        <v>0.7</v>
      </c>
      <c r="F376" s="46" t="n">
        <v>80</v>
      </c>
      <c r="G376" s="33" t="inlineStr">
        <is>
          <t>4. Industria</t>
        </is>
      </c>
      <c r="H376" s="33" t="inlineStr">
        <is>
          <t>4.3 Cerámicas, tejas, vidrio</t>
        </is>
      </c>
      <c r="R376" s="18">
        <f>G376&amp;"|"&amp;B376</f>
        <v/>
      </c>
    </row>
    <row r="377">
      <c r="B377" s="33" t="inlineStr">
        <is>
          <t>Trabajo de precisión (triturado decorativo, pintura a mano), 4 000 K ≤ TCP ≤ 6 500 K</t>
        </is>
      </c>
      <c r="C377" s="46" t="n">
        <v>1000</v>
      </c>
      <c r="D377" s="46" t="n">
        <v>16</v>
      </c>
      <c r="E377" s="74" t="n">
        <v>0.7</v>
      </c>
      <c r="F377" s="46" t="n">
        <v>90</v>
      </c>
      <c r="G377" s="33" t="inlineStr">
        <is>
          <t>4. Industria</t>
        </is>
      </c>
      <c r="H377" s="33" t="inlineStr">
        <is>
          <t>4.3 Cerámicas, tejas, vidrio</t>
        </is>
      </c>
      <c r="R377" s="18">
        <f>G377&amp;"|"&amp;B377</f>
        <v/>
      </c>
    </row>
    <row r="378">
      <c r="B378" s="33" t="inlineStr">
        <is>
          <t>Fabricación de piedras preciosas sintéticas</t>
        </is>
      </c>
      <c r="C378" s="46" t="n">
        <v>1500</v>
      </c>
      <c r="D378" s="46" t="n">
        <v>16</v>
      </c>
      <c r="E378" s="74" t="n">
        <v>0.7</v>
      </c>
      <c r="F378" s="46" t="n">
        <v>90</v>
      </c>
      <c r="G378" s="33" t="inlineStr">
        <is>
          <t>4. Industria</t>
        </is>
      </c>
      <c r="H378" s="33" t="inlineStr">
        <is>
          <t>4.3 Cerámicas, tejas, vidrio</t>
        </is>
      </c>
      <c r="R378" s="18">
        <f>G378&amp;"|"&amp;B378</f>
        <v/>
      </c>
    </row>
    <row r="379">
      <c r="B379" s="33" t="inlineStr">
        <is>
          <t>Instalaciones de procesamiento operadas a distancia</t>
        </is>
      </c>
      <c r="C379" s="46" t="n">
        <v>50</v>
      </c>
      <c r="D379" s="46" t="inlineStr">
        <is>
          <t>—</t>
        </is>
      </c>
      <c r="E379" s="74" t="n">
        <v>0.4</v>
      </c>
      <c r="F379" s="46" t="n">
        <v>20</v>
      </c>
      <c r="G379" s="33" t="inlineStr">
        <is>
          <t>4. Industria</t>
        </is>
      </c>
      <c r="H379" s="33" t="inlineStr">
        <is>
          <t>4.4 Química, plásticos y caucho</t>
        </is>
      </c>
      <c r="R379" s="18">
        <f>G379&amp;"|"&amp;B379</f>
        <v/>
      </c>
    </row>
    <row r="380">
      <c r="B380" s="33" t="inlineStr">
        <is>
          <t>Instalaciones de procesamiento con intervención manual limitada</t>
        </is>
      </c>
      <c r="C380" s="46" t="n">
        <v>150</v>
      </c>
      <c r="D380" s="46" t="n">
        <v>28</v>
      </c>
      <c r="E380" s="74" t="n">
        <v>0.4</v>
      </c>
      <c r="F380" s="46" t="n">
        <v>40</v>
      </c>
      <c r="G380" s="33" t="inlineStr">
        <is>
          <t>4. Industria</t>
        </is>
      </c>
      <c r="H380" s="33" t="inlineStr">
        <is>
          <t>4.4 Química, plásticos y caucho</t>
        </is>
      </c>
      <c r="R380" s="18">
        <f>G380&amp;"|"&amp;B380</f>
        <v/>
      </c>
    </row>
    <row r="381">
      <c r="B381" s="33" t="inlineStr">
        <is>
          <t>Puestos de trabajo atendidos constantemente en instalaciones de procesamiento</t>
        </is>
      </c>
      <c r="C381" s="46" t="n">
        <v>300</v>
      </c>
      <c r="D381" s="46" t="n">
        <v>25</v>
      </c>
      <c r="E381" s="74" t="n">
        <v>0.6</v>
      </c>
      <c r="F381" s="46" t="n">
        <v>80</v>
      </c>
      <c r="G381" s="33" t="inlineStr">
        <is>
          <t>4. Industria</t>
        </is>
      </c>
      <c r="H381" s="33" t="inlineStr">
        <is>
          <t>4.4 Química, plásticos y caucho</t>
        </is>
      </c>
      <c r="R381" s="18">
        <f>G381&amp;"|"&amp;B381</f>
        <v/>
      </c>
    </row>
    <row r="382">
      <c r="B382" s="33" t="inlineStr">
        <is>
          <t>Locales de mediciones precisas, laboratorios</t>
        </is>
      </c>
      <c r="C382" s="46" t="n">
        <v>500</v>
      </c>
      <c r="D382" s="46" t="n">
        <v>19</v>
      </c>
      <c r="E382" s="74" t="n">
        <v>0.6</v>
      </c>
      <c r="F382" s="46" t="n">
        <v>80</v>
      </c>
      <c r="G382" s="33" t="inlineStr">
        <is>
          <t>4. Industria</t>
        </is>
      </c>
      <c r="H382" s="33" t="inlineStr">
        <is>
          <t>4.4 Química, plásticos y caucho</t>
        </is>
      </c>
      <c r="R382" s="18">
        <f>G382&amp;"|"&amp;B382</f>
        <v/>
      </c>
    </row>
    <row r="383">
      <c r="B383" s="33" t="inlineStr">
        <is>
          <t>Producción farmacéutica</t>
        </is>
      </c>
      <c r="C383" s="46" t="n">
        <v>500</v>
      </c>
      <c r="D383" s="46" t="n">
        <v>22</v>
      </c>
      <c r="E383" s="74" t="n">
        <v>0.6</v>
      </c>
      <c r="F383" s="46" t="n">
        <v>80</v>
      </c>
      <c r="G383" s="33" t="inlineStr">
        <is>
          <t>4. Industria</t>
        </is>
      </c>
      <c r="H383" s="33" t="inlineStr">
        <is>
          <t>4.4 Química, plásticos y caucho</t>
        </is>
      </c>
      <c r="R383" s="18">
        <f>G383&amp;"|"&amp;B383</f>
        <v/>
      </c>
    </row>
    <row r="384">
      <c r="B384" s="33" t="inlineStr">
        <is>
          <t>Producción de neumáticos</t>
        </is>
      </c>
      <c r="C384" s="46" t="n">
        <v>500</v>
      </c>
      <c r="D384" s="46" t="n">
        <v>22</v>
      </c>
      <c r="E384" s="74" t="n">
        <v>0.6</v>
      </c>
      <c r="F384" s="46" t="n">
        <v>80</v>
      </c>
      <c r="G384" s="33" t="inlineStr">
        <is>
          <t>4. Industria</t>
        </is>
      </c>
      <c r="H384" s="33" t="inlineStr">
        <is>
          <t>4.4 Química, plásticos y caucho</t>
        </is>
      </c>
      <c r="R384" s="18">
        <f>G384&amp;"|"&amp;B384</f>
        <v/>
      </c>
    </row>
    <row r="385">
      <c r="B385" s="33" t="inlineStr">
        <is>
          <t>Química, plásticos y caucho: Inspección de colores</t>
        </is>
      </c>
      <c r="C385" s="46" t="n">
        <v>1000</v>
      </c>
      <c r="D385" s="46" t="n">
        <v>16</v>
      </c>
      <c r="E385" s="74" t="n">
        <v>0.7</v>
      </c>
      <c r="F385" s="46" t="n">
        <v>90</v>
      </c>
      <c r="G385" s="33" t="inlineStr">
        <is>
          <t>4. Industria</t>
        </is>
      </c>
      <c r="H385" s="33" t="inlineStr">
        <is>
          <t>4.4 Química, plásticos y caucho</t>
        </is>
      </c>
      <c r="R385" s="18">
        <f>G385&amp;"|"&amp;B385</f>
        <v/>
      </c>
    </row>
    <row r="386">
      <c r="B386" s="33" t="inlineStr">
        <is>
          <t>Corte, acabado, inspección</t>
        </is>
      </c>
      <c r="C386" s="46" t="n">
        <v>750</v>
      </c>
      <c r="D386" s="46" t="n">
        <v>19</v>
      </c>
      <c r="E386" s="74" t="n">
        <v>0.7</v>
      </c>
      <c r="F386" s="46" t="n">
        <v>80</v>
      </c>
      <c r="G386" s="33" t="inlineStr">
        <is>
          <t>4. Industria</t>
        </is>
      </c>
      <c r="H386" s="33" t="inlineStr">
        <is>
          <t>4.4 Química, plásticos y caucho</t>
        </is>
      </c>
      <c r="R386" s="18">
        <f>G386&amp;"|"&amp;B386</f>
        <v/>
      </c>
    </row>
    <row r="387">
      <c r="B387" s="33" t="inlineStr">
        <is>
          <t>Fabricación de cable e hilos</t>
        </is>
      </c>
      <c r="C387" s="46" t="n">
        <v>300</v>
      </c>
      <c r="D387" s="46" t="n">
        <v>25</v>
      </c>
      <c r="E387" s="74" t="n">
        <v>0.6</v>
      </c>
      <c r="F387" s="46" t="n">
        <v>80</v>
      </c>
      <c r="G387" s="33" t="inlineStr">
        <is>
          <t>4. Industria</t>
        </is>
      </c>
      <c r="H387" s="33" t="inlineStr">
        <is>
          <t>4.5 Industria eléctrica</t>
        </is>
      </c>
      <c r="R387" s="18">
        <f>G387&amp;"|"&amp;B387</f>
        <v/>
      </c>
    </row>
    <row r="388">
      <c r="B388" s="33" t="inlineStr">
        <is>
          <t>Bobinado: bobinas grandes</t>
        </is>
      </c>
      <c r="C388" s="46" t="n">
        <v>300</v>
      </c>
      <c r="D388" s="46" t="n">
        <v>25</v>
      </c>
      <c r="E388" s="74" t="n">
        <v>0.6</v>
      </c>
      <c r="F388" s="46" t="n">
        <v>80</v>
      </c>
      <c r="G388" s="33" t="inlineStr">
        <is>
          <t>4. Industria</t>
        </is>
      </c>
      <c r="H388" s="33" t="inlineStr">
        <is>
          <t>4.5 Industria eléctrica</t>
        </is>
      </c>
      <c r="R388" s="18">
        <f>G388&amp;"|"&amp;B388</f>
        <v/>
      </c>
    </row>
    <row r="389">
      <c r="B389" s="33" t="inlineStr">
        <is>
          <t>Bobinado: bobinas de tamaño mediano</t>
        </is>
      </c>
      <c r="C389" s="46" t="n">
        <v>500</v>
      </c>
      <c r="D389" s="46" t="n">
        <v>22</v>
      </c>
      <c r="E389" s="74" t="n">
        <v>0.6</v>
      </c>
      <c r="F389" s="46" t="n">
        <v>80</v>
      </c>
      <c r="G389" s="33" t="inlineStr">
        <is>
          <t>4. Industria</t>
        </is>
      </c>
      <c r="H389" s="33" t="inlineStr">
        <is>
          <t>4.5 Industria eléctrica</t>
        </is>
      </c>
      <c r="R389" s="18">
        <f>G389&amp;"|"&amp;B389</f>
        <v/>
      </c>
    </row>
    <row r="390">
      <c r="B390" s="33" t="inlineStr">
        <is>
          <t>Bobinado: bobinas pequeñas</t>
        </is>
      </c>
      <c r="C390" s="46" t="n">
        <v>750</v>
      </c>
      <c r="D390" s="46" t="n">
        <v>19</v>
      </c>
      <c r="E390" s="74" t="n">
        <v>0.7</v>
      </c>
      <c r="F390" s="46" t="n">
        <v>80</v>
      </c>
      <c r="G390" s="33" t="inlineStr">
        <is>
          <t>4. Industria</t>
        </is>
      </c>
      <c r="H390" s="33" t="inlineStr">
        <is>
          <t>4.5 Industria eléctrica</t>
        </is>
      </c>
      <c r="R390" s="18">
        <f>G390&amp;"|"&amp;B390</f>
        <v/>
      </c>
    </row>
    <row r="391">
      <c r="B391" s="33" t="inlineStr">
        <is>
          <t>Impregnación de devanados</t>
        </is>
      </c>
      <c r="C391" s="46" t="n">
        <v>300</v>
      </c>
      <c r="D391" s="46" t="n">
        <v>25</v>
      </c>
      <c r="E391" s="74" t="n">
        <v>0.6</v>
      </c>
      <c r="F391" s="46" t="n">
        <v>80</v>
      </c>
      <c r="G391" s="33" t="inlineStr">
        <is>
          <t>4. Industria</t>
        </is>
      </c>
      <c r="H391" s="33" t="inlineStr">
        <is>
          <t>4.5 Industria eléctrica</t>
        </is>
      </c>
      <c r="R391" s="18">
        <f>G391&amp;"|"&amp;B391</f>
        <v/>
      </c>
    </row>
    <row r="392">
      <c r="B392" s="33" t="inlineStr">
        <is>
          <t>Industria eléctrica: Galvanización</t>
        </is>
      </c>
      <c r="C392" s="46" t="n">
        <v>300</v>
      </c>
      <c r="D392" s="46" t="n">
        <v>25</v>
      </c>
      <c r="E392" s="74" t="n">
        <v>0.6</v>
      </c>
      <c r="F392" s="46" t="n">
        <v>80</v>
      </c>
      <c r="G392" s="33" t="inlineStr">
        <is>
          <t>4. Industria</t>
        </is>
      </c>
      <c r="H392" s="33" t="inlineStr">
        <is>
          <t>4.5 Industria eléctrica</t>
        </is>
      </c>
      <c r="R392" s="18">
        <f>G392&amp;"|"&amp;B392</f>
        <v/>
      </c>
    </row>
    <row r="393">
      <c r="B393" s="33" t="inlineStr">
        <is>
          <t>Montaje: obra gruesa (transformadores grandes)</t>
        </is>
      </c>
      <c r="C393" s="46" t="n">
        <v>300</v>
      </c>
      <c r="D393" s="46" t="n">
        <v>25</v>
      </c>
      <c r="E393" s="74" t="n">
        <v>0.6</v>
      </c>
      <c r="F393" s="46" t="n">
        <v>80</v>
      </c>
      <c r="G393" s="33" t="inlineStr">
        <is>
          <t>4. Industria</t>
        </is>
      </c>
      <c r="H393" s="33" t="inlineStr">
        <is>
          <t>4.5 Industria eléctrica</t>
        </is>
      </c>
      <c r="R393" s="18">
        <f>G393&amp;"|"&amp;B393</f>
        <v/>
      </c>
    </row>
    <row r="394">
      <c r="B394" s="33" t="inlineStr">
        <is>
          <t>Montaje: mediano (centros generales de distribución)</t>
        </is>
      </c>
      <c r="C394" s="46" t="n">
        <v>500</v>
      </c>
      <c r="D394" s="46" t="n">
        <v>22</v>
      </c>
      <c r="E394" s="74" t="n">
        <v>0.6</v>
      </c>
      <c r="F394" s="46" t="n">
        <v>80</v>
      </c>
      <c r="G394" s="33" t="inlineStr">
        <is>
          <t>4. Industria</t>
        </is>
      </c>
      <c r="H394" s="33" t="inlineStr">
        <is>
          <t>4.5 Industria eléctrica</t>
        </is>
      </c>
      <c r="R394" s="18">
        <f>G394&amp;"|"&amp;B394</f>
        <v/>
      </c>
    </row>
    <row r="395">
      <c r="B395" s="33" t="inlineStr">
        <is>
          <t>Montaje: fino (teléfonos)</t>
        </is>
      </c>
      <c r="C395" s="46" t="n">
        <v>750</v>
      </c>
      <c r="D395" s="46" t="n">
        <v>19</v>
      </c>
      <c r="E395" s="74" t="n">
        <v>0.7</v>
      </c>
      <c r="F395" s="46" t="n">
        <v>80</v>
      </c>
      <c r="G395" s="33" t="inlineStr">
        <is>
          <t>4. Industria</t>
        </is>
      </c>
      <c r="H395" s="33" t="inlineStr">
        <is>
          <t>4.5 Industria eléctrica</t>
        </is>
      </c>
      <c r="R395" s="18">
        <f>G395&amp;"|"&amp;B395</f>
        <v/>
      </c>
    </row>
    <row r="396">
      <c r="B396" s="33" t="inlineStr">
        <is>
          <t>Montaje: de precisión (equipos de mediciones)</t>
        </is>
      </c>
      <c r="C396" s="46" t="n">
        <v>1000</v>
      </c>
      <c r="D396" s="46" t="n">
        <v>16</v>
      </c>
      <c r="E396" s="74" t="n">
        <v>0.7</v>
      </c>
      <c r="F396" s="46" t="n">
        <v>80</v>
      </c>
      <c r="G396" s="33" t="inlineStr">
        <is>
          <t>4. Industria</t>
        </is>
      </c>
      <c r="H396" s="33" t="inlineStr">
        <is>
          <t>4.5 Industria eléctrica</t>
        </is>
      </c>
      <c r="R396" s="18">
        <f>G396&amp;"|"&amp;B396</f>
        <v/>
      </c>
    </row>
    <row r="397">
      <c r="B397" s="33" t="inlineStr">
        <is>
          <t>Talleres de electrónica, ensayos, ajustes</t>
        </is>
      </c>
      <c r="C397" s="46" t="n">
        <v>1500</v>
      </c>
      <c r="D397" s="46" t="n">
        <v>16</v>
      </c>
      <c r="E397" s="74" t="n">
        <v>0.7</v>
      </c>
      <c r="F397" s="46" t="n">
        <v>80</v>
      </c>
      <c r="G397" s="33" t="inlineStr">
        <is>
          <t>4. Industria</t>
        </is>
      </c>
      <c r="H397" s="33" t="inlineStr">
        <is>
          <t>4.5 Industria eléctrica</t>
        </is>
      </c>
      <c r="R397" s="18">
        <f>G397&amp;"|"&amp;B397</f>
        <v/>
      </c>
    </row>
    <row r="398">
      <c r="B398" s="33" t="inlineStr">
        <is>
          <t>Cervecerías, malta, lavado, llenado de barriles, limpieza, cernido, peladura, cocinado en fábricas de conservas y chocolates, fábricas de azúcar, tabaco, toneles de fermentación</t>
        </is>
      </c>
      <c r="C398" s="46" t="n">
        <v>200</v>
      </c>
      <c r="D398" s="46" t="n">
        <v>25</v>
      </c>
      <c r="E398" s="74" t="n">
        <v>0.4</v>
      </c>
      <c r="F398" s="46" t="n">
        <v>80</v>
      </c>
      <c r="G398" s="33" t="inlineStr">
        <is>
          <t>4. Industria</t>
        </is>
      </c>
      <c r="H398" s="33" t="inlineStr">
        <is>
          <t>4.6 Alimentos</t>
        </is>
      </c>
      <c r="R398" s="18">
        <f>G398&amp;"|"&amp;B398</f>
        <v/>
      </c>
    </row>
    <row r="399">
      <c r="B399" s="33" t="inlineStr">
        <is>
          <t>Clasificación y lavado de productos, molienda, mezclado y envase</t>
        </is>
      </c>
      <c r="C399" s="46" t="n">
        <v>300</v>
      </c>
      <c r="D399" s="46" t="n">
        <v>25</v>
      </c>
      <c r="E399" s="74" t="n">
        <v>0.6</v>
      </c>
      <c r="F399" s="46" t="n">
        <v>80</v>
      </c>
      <c r="G399" s="33" t="inlineStr">
        <is>
          <t>4. Industria</t>
        </is>
      </c>
      <c r="H399" s="33" t="inlineStr">
        <is>
          <t>4.6 Alimentos</t>
        </is>
      </c>
      <c r="R399" s="18">
        <f>G399&amp;"|"&amp;B399</f>
        <v/>
      </c>
    </row>
    <row r="400">
      <c r="B400" s="33" t="inlineStr">
        <is>
          <t>Mataderos, carnicerías, lecherías, pisos de filtros, refinerías de azúcar</t>
        </is>
      </c>
      <c r="C400" s="46" t="n">
        <v>500</v>
      </c>
      <c r="D400" s="46" t="n">
        <v>25</v>
      </c>
      <c r="E400" s="74" t="n">
        <v>0.6</v>
      </c>
      <c r="F400" s="46" t="n">
        <v>80</v>
      </c>
      <c r="G400" s="33" t="inlineStr">
        <is>
          <t>4. Industria</t>
        </is>
      </c>
      <c r="H400" s="33" t="inlineStr">
        <is>
          <t>4.6 Alimentos</t>
        </is>
      </c>
      <c r="R400" s="18">
        <f>G400&amp;"|"&amp;B400</f>
        <v/>
      </c>
    </row>
    <row r="401">
      <c r="B401" s="33" t="inlineStr">
        <is>
          <t>Corte y clasificación de frutas y vegetales</t>
        </is>
      </c>
      <c r="C401" s="46" t="n">
        <v>300</v>
      </c>
      <c r="D401" s="46" t="n">
        <v>25</v>
      </c>
      <c r="E401" s="74" t="n">
        <v>0.6</v>
      </c>
      <c r="F401" s="46" t="n">
        <v>80</v>
      </c>
      <c r="G401" s="33" t="inlineStr">
        <is>
          <t>4. Industria</t>
        </is>
      </c>
      <c r="H401" s="33" t="inlineStr">
        <is>
          <t>4.6 Alimentos</t>
        </is>
      </c>
      <c r="R401" s="18">
        <f>G401&amp;"|"&amp;B401</f>
        <v/>
      </c>
    </row>
    <row r="402">
      <c r="B402" s="33" t="inlineStr">
        <is>
          <t>Fabricación de alimentos finos, cocinas, fabricación de tabacos y cigarrillos</t>
        </is>
      </c>
      <c r="C402" s="46" t="n">
        <v>500</v>
      </c>
      <c r="D402" s="46" t="n">
        <v>22</v>
      </c>
      <c r="E402" s="74" t="n">
        <v>0.6</v>
      </c>
      <c r="F402" s="46" t="n">
        <v>80</v>
      </c>
      <c r="G402" s="33" t="inlineStr">
        <is>
          <t>4. Industria</t>
        </is>
      </c>
      <c r="H402" s="33" t="inlineStr">
        <is>
          <t>4.6 Alimentos</t>
        </is>
      </c>
      <c r="R402" s="18">
        <f>G402&amp;"|"&amp;B402</f>
        <v/>
      </c>
    </row>
    <row r="403">
      <c r="B403" s="33" t="inlineStr">
        <is>
          <t>Inspección de envases y botellas, control de productos, adorno, decoración</t>
        </is>
      </c>
      <c r="C403" s="46" t="n">
        <v>500</v>
      </c>
      <c r="D403" s="46" t="n">
        <v>22</v>
      </c>
      <c r="E403" s="74" t="n">
        <v>0.6</v>
      </c>
      <c r="F403" s="46" t="n">
        <v>80</v>
      </c>
      <c r="G403" s="33" t="inlineStr">
        <is>
          <t>4. Industria</t>
        </is>
      </c>
      <c r="H403" s="33" t="inlineStr">
        <is>
          <t>4.6 Alimentos</t>
        </is>
      </c>
      <c r="R403" s="18">
        <f>G403&amp;"|"&amp;B403</f>
        <v/>
      </c>
    </row>
    <row r="404">
      <c r="B404" s="33" t="inlineStr">
        <is>
          <t>Laboratorios</t>
        </is>
      </c>
      <c r="C404" s="46" t="n">
        <v>500</v>
      </c>
      <c r="D404" s="46" t="n">
        <v>19</v>
      </c>
      <c r="E404" s="74" t="n">
        <v>0.6</v>
      </c>
      <c r="F404" s="46" t="n">
        <v>80</v>
      </c>
      <c r="G404" s="33" t="inlineStr">
        <is>
          <t>4. Industria</t>
        </is>
      </c>
      <c r="H404" s="33" t="inlineStr">
        <is>
          <t>4.6 Alimentos</t>
        </is>
      </c>
      <c r="R404" s="18">
        <f>G404&amp;"|"&amp;B404</f>
        <v/>
      </c>
    </row>
    <row r="405">
      <c r="B405" s="33" t="inlineStr">
        <is>
          <t>Alimentos: Inspección de colores</t>
        </is>
      </c>
      <c r="C405" s="46" t="n">
        <v>1000</v>
      </c>
      <c r="D405" s="46" t="n">
        <v>16</v>
      </c>
      <c r="E405" s="74" t="n">
        <v>0.7</v>
      </c>
      <c r="F405" s="46" t="n">
        <v>90</v>
      </c>
      <c r="G405" s="33" t="inlineStr">
        <is>
          <t>4. Industria</t>
        </is>
      </c>
      <c r="H405" s="33" t="inlineStr">
        <is>
          <t>4.6 Alimentos</t>
        </is>
      </c>
      <c r="R405" s="18">
        <f>G405&amp;"|"&amp;B405</f>
        <v/>
      </c>
    </row>
    <row r="406">
      <c r="B406" s="33" t="inlineStr">
        <is>
          <t>Túneles soterrados, sótanos, etc.</t>
        </is>
      </c>
      <c r="C406" s="46" t="n">
        <v>50</v>
      </c>
      <c r="D406" s="46" t="inlineStr">
        <is>
          <t>—</t>
        </is>
      </c>
      <c r="E406" s="74" t="n">
        <v>0.4</v>
      </c>
      <c r="F406" s="46" t="n">
        <v>20</v>
      </c>
      <c r="G406" s="33" t="inlineStr">
        <is>
          <t>4. Industria</t>
        </is>
      </c>
      <c r="H406" s="33" t="inlineStr">
        <is>
          <t>4.7 Piezas de metal (fundiciones)</t>
        </is>
      </c>
      <c r="R406" s="18">
        <f>G406&amp;"|"&amp;B406</f>
        <v/>
      </c>
    </row>
    <row r="407">
      <c r="B407" s="33" t="inlineStr">
        <is>
          <t>Preparación de arena</t>
        </is>
      </c>
      <c r="C407" s="46" t="n">
        <v>200</v>
      </c>
      <c r="D407" s="46" t="n">
        <v>25</v>
      </c>
      <c r="E407" s="74" t="n">
        <v>0.4</v>
      </c>
      <c r="F407" s="46" t="n">
        <v>80</v>
      </c>
      <c r="G407" s="33" t="inlineStr">
        <is>
          <t>4. Industria</t>
        </is>
      </c>
      <c r="H407" s="33" t="inlineStr">
        <is>
          <t>4.7 Piezas de metal (fundiciones)</t>
        </is>
      </c>
      <c r="R407" s="18">
        <f>G407&amp;"|"&amp;B407</f>
        <v/>
      </c>
    </row>
    <row r="408">
      <c r="B408" s="33" t="inlineStr">
        <is>
          <t>Local de desarenado</t>
        </is>
      </c>
      <c r="C408" s="46" t="n">
        <v>200</v>
      </c>
      <c r="D408" s="46" t="n">
        <v>25</v>
      </c>
      <c r="E408" s="74" t="n">
        <v>0.4</v>
      </c>
      <c r="F408" s="46" t="n">
        <v>80</v>
      </c>
      <c r="G408" s="33" t="inlineStr">
        <is>
          <t>4. Industria</t>
        </is>
      </c>
      <c r="H408" s="33" t="inlineStr">
        <is>
          <t>4.7 Piezas de metal (fundiciones)</t>
        </is>
      </c>
      <c r="R408" s="18">
        <f>G408&amp;"|"&amp;B408</f>
        <v/>
      </c>
    </row>
    <row r="409">
      <c r="B409" s="33" t="inlineStr">
        <is>
          <t>Puestos de trabajo en cubilote y mezclador</t>
        </is>
      </c>
      <c r="C409" s="46" t="n">
        <v>200</v>
      </c>
      <c r="D409" s="46" t="n">
        <v>25</v>
      </c>
      <c r="E409" s="74" t="n">
        <v>0.4</v>
      </c>
      <c r="F409" s="46" t="n">
        <v>80</v>
      </c>
      <c r="G409" s="33" t="inlineStr">
        <is>
          <t>4. Industria</t>
        </is>
      </c>
      <c r="H409" s="33" t="inlineStr">
        <is>
          <t>4.7 Piezas de metal (fundiciones)</t>
        </is>
      </c>
      <c r="R409" s="18">
        <f>G409&amp;"|"&amp;B409</f>
        <v/>
      </c>
    </row>
    <row r="410">
      <c r="B410" s="33" t="inlineStr">
        <is>
          <t>Patio de fundición</t>
        </is>
      </c>
      <c r="C410" s="46" t="n">
        <v>200</v>
      </c>
      <c r="D410" s="46" t="n">
        <v>25</v>
      </c>
      <c r="E410" s="74" t="n">
        <v>0.4</v>
      </c>
      <c r="F410" s="46" t="n">
        <v>80</v>
      </c>
      <c r="G410" s="33" t="inlineStr">
        <is>
          <t>4. Industria</t>
        </is>
      </c>
      <c r="H410" s="33" t="inlineStr">
        <is>
          <t>4.7 Piezas de metal (fundiciones)</t>
        </is>
      </c>
      <c r="R410" s="18">
        <f>G410&amp;"|"&amp;B410</f>
        <v/>
      </c>
    </row>
    <row r="411">
      <c r="B411" s="33" t="inlineStr">
        <is>
          <t>Áreas de desmoldeo</t>
        </is>
      </c>
      <c r="C411" s="46" t="n">
        <v>200</v>
      </c>
      <c r="D411" s="46" t="n">
        <v>25</v>
      </c>
      <c r="E411" s="74" t="n">
        <v>0.4</v>
      </c>
      <c r="F411" s="46" t="n">
        <v>80</v>
      </c>
      <c r="G411" s="33" t="inlineStr">
        <is>
          <t>4. Industria</t>
        </is>
      </c>
      <c r="H411" s="33" t="inlineStr">
        <is>
          <t>4.7 Piezas de metal (fundiciones)</t>
        </is>
      </c>
      <c r="R411" s="18">
        <f>G411&amp;"|"&amp;B411</f>
        <v/>
      </c>
    </row>
    <row r="412">
      <c r="B412" s="33" t="inlineStr">
        <is>
          <t>Máquina moldeadora</t>
        </is>
      </c>
      <c r="C412" s="46" t="n">
        <v>200</v>
      </c>
      <c r="D412" s="46" t="n">
        <v>25</v>
      </c>
      <c r="E412" s="74" t="n">
        <v>0.4</v>
      </c>
      <c r="F412" s="46" t="n">
        <v>80</v>
      </c>
      <c r="G412" s="33" t="inlineStr">
        <is>
          <t>4. Industria</t>
        </is>
      </c>
      <c r="H412" s="33" t="inlineStr">
        <is>
          <t>4.7 Piezas de metal (fundiciones)</t>
        </is>
      </c>
      <c r="R412" s="18">
        <f>G412&amp;"|"&amp;B412</f>
        <v/>
      </c>
    </row>
    <row r="413">
      <c r="B413" s="33" t="inlineStr">
        <is>
          <t>Moldeo manual y de machos</t>
        </is>
      </c>
      <c r="C413" s="46" t="n">
        <v>300</v>
      </c>
      <c r="D413" s="46" t="n">
        <v>25</v>
      </c>
      <c r="E413" s="74" t="n">
        <v>0.4</v>
      </c>
      <c r="F413" s="46" t="n">
        <v>80</v>
      </c>
      <c r="G413" s="33" t="inlineStr">
        <is>
          <t>4. Industria</t>
        </is>
      </c>
      <c r="H413" s="33" t="inlineStr">
        <is>
          <t>4.7 Piezas de metal (fundiciones)</t>
        </is>
      </c>
      <c r="R413" s="18">
        <f>G413&amp;"|"&amp;B413</f>
        <v/>
      </c>
    </row>
    <row r="414">
      <c r="B414" s="33" t="inlineStr">
        <is>
          <t>Fundición en coquillas</t>
        </is>
      </c>
      <c r="C414" s="46" t="n">
        <v>300</v>
      </c>
      <c r="D414" s="46" t="n">
        <v>25</v>
      </c>
      <c r="E414" s="74" t="n">
        <v>0.6</v>
      </c>
      <c r="F414" s="46" t="n">
        <v>80</v>
      </c>
      <c r="G414" s="33" t="inlineStr">
        <is>
          <t>4. Industria</t>
        </is>
      </c>
      <c r="H414" s="33" t="inlineStr">
        <is>
          <t>4.7 Piezas de metal (fundiciones)</t>
        </is>
      </c>
      <c r="R414" s="18">
        <f>G414&amp;"|"&amp;B414</f>
        <v/>
      </c>
    </row>
    <row r="415">
      <c r="B415" s="33" t="inlineStr">
        <is>
          <t>Salas de trabajo con iluminación suplementaria sobre cada máquina</t>
        </is>
      </c>
      <c r="C415" s="46" t="n">
        <v>150</v>
      </c>
      <c r="D415" s="46" t="inlineStr">
        <is>
          <t>—</t>
        </is>
      </c>
      <c r="E415" s="46" t="inlineStr">
        <is>
          <t>—</t>
        </is>
      </c>
      <c r="F415" s="46" t="inlineStr">
        <is>
          <t>—</t>
        </is>
      </c>
      <c r="G415" s="33" t="inlineStr">
        <is>
          <t>4. Industria</t>
        </is>
      </c>
      <c r="H415" s="33" t="inlineStr">
        <is>
          <t>4.8 Fundiciones y colada de metales</t>
        </is>
      </c>
      <c r="R415" s="18">
        <f>G415&amp;"|"&amp;B415</f>
        <v/>
      </c>
    </row>
    <row r="416">
      <c r="B416" s="33" t="inlineStr">
        <is>
          <t>Trabajo prolongado con requerimiento moderado sobre la visión</t>
        </is>
      </c>
      <c r="C416" s="46" t="n">
        <v>300</v>
      </c>
      <c r="D416" s="46" t="inlineStr">
        <is>
          <t>—</t>
        </is>
      </c>
      <c r="E416" s="46" t="inlineStr">
        <is>
          <t>—</t>
        </is>
      </c>
      <c r="F416" s="46" t="inlineStr">
        <is>
          <t>—</t>
        </is>
      </c>
      <c r="G416" s="33" t="inlineStr">
        <is>
          <t>4. Industria</t>
        </is>
      </c>
      <c r="H416" s="33" t="inlineStr">
        <is>
          <t>4.8 Fundiciones y colada de metales</t>
        </is>
      </c>
      <c r="R416" s="18">
        <f>G416&amp;"|"&amp;B416</f>
        <v/>
      </c>
    </row>
    <row r="417">
      <c r="B417" s="33" t="inlineStr">
        <is>
          <t>Trabajo mecánico con cierta discriminación de detalles</t>
        </is>
      </c>
      <c r="C417" s="46" t="n">
        <v>300</v>
      </c>
      <c r="D417" s="46" t="inlineStr">
        <is>
          <t>—</t>
        </is>
      </c>
      <c r="E417" s="46" t="inlineStr">
        <is>
          <t>—</t>
        </is>
      </c>
      <c r="F417" s="46" t="inlineStr">
        <is>
          <t>—</t>
        </is>
      </c>
      <c r="G417" s="33" t="inlineStr">
        <is>
          <t>4. Industria</t>
        </is>
      </c>
      <c r="H417" s="33" t="inlineStr">
        <is>
          <t>4.8 Fundiciones y colada de metales</t>
        </is>
      </c>
      <c r="R417" s="18">
        <f>G417&amp;"|"&amp;B417</f>
        <v/>
      </c>
    </row>
    <row r="418">
      <c r="B418" s="33" t="inlineStr">
        <is>
          <t>Trabajo mecánico que exige discriminación de detalles finos</t>
        </is>
      </c>
      <c r="C418" s="46" t="n">
        <v>500</v>
      </c>
      <c r="D418" s="46" t="inlineStr">
        <is>
          <t>—</t>
        </is>
      </c>
      <c r="E418" s="46" t="inlineStr">
        <is>
          <t>—</t>
        </is>
      </c>
      <c r="F418" s="46" t="inlineStr">
        <is>
          <t>—</t>
        </is>
      </c>
      <c r="G418" s="33" t="inlineStr">
        <is>
          <t>4. Industria</t>
        </is>
      </c>
      <c r="H418" s="33" t="inlineStr">
        <is>
          <t>4.8 Fundiciones y colada de metales</t>
        </is>
      </c>
      <c r="R418" s="18">
        <f>G418&amp;"|"&amp;B418</f>
        <v/>
      </c>
    </row>
    <row r="419">
      <c r="B419" s="33" t="inlineStr">
        <is>
          <t>Trabajo prolongado con discriminación de detalles finos</t>
        </is>
      </c>
      <c r="C419" s="46" t="n">
        <v>1500</v>
      </c>
      <c r="D419" s="46" t="inlineStr">
        <is>
          <t>—</t>
        </is>
      </c>
      <c r="E419" s="46" t="inlineStr">
        <is>
          <t>—</t>
        </is>
      </c>
      <c r="F419" s="46" t="inlineStr">
        <is>
          <t>—</t>
        </is>
      </c>
      <c r="G419" s="33" t="inlineStr">
        <is>
          <t>4. Industria</t>
        </is>
      </c>
      <c r="H419" s="33" t="inlineStr">
        <is>
          <t>4.8 Fundiciones y colada de metales</t>
        </is>
      </c>
      <c r="R419" s="18">
        <f>G419&amp;"|"&amp;B419</f>
        <v/>
      </c>
    </row>
    <row r="420">
      <c r="B420" s="33" t="inlineStr">
        <is>
          <t>Salas y paneles de control</t>
        </is>
      </c>
      <c r="C420" s="46" t="n">
        <v>500</v>
      </c>
      <c r="D420" s="46" t="inlineStr">
        <is>
          <t>—</t>
        </is>
      </c>
      <c r="E420" s="46" t="inlineStr">
        <is>
          <t>—</t>
        </is>
      </c>
      <c r="F420" s="46" t="inlineStr">
        <is>
          <t>—</t>
        </is>
      </c>
      <c r="G420" s="33" t="inlineStr">
        <is>
          <t>4. Industria</t>
        </is>
      </c>
      <c r="H420" s="33" t="inlineStr">
        <is>
          <t>4.8 Fundiciones y colada de metales</t>
        </is>
      </c>
      <c r="R420" s="18">
        <f>G420&amp;"|"&amp;B420</f>
        <v/>
      </c>
    </row>
    <row r="421">
      <c r="B421" s="33" t="inlineStr">
        <is>
          <t>Revisión prolija de artículos, corte y trazado</t>
        </is>
      </c>
      <c r="C421" s="46" t="n">
        <v>1000</v>
      </c>
      <c r="D421" s="46" t="inlineStr">
        <is>
          <t>—</t>
        </is>
      </c>
      <c r="E421" s="46" t="inlineStr">
        <is>
          <t>—</t>
        </is>
      </c>
      <c r="F421" s="46" t="inlineStr">
        <is>
          <t>—</t>
        </is>
      </c>
      <c r="G421" s="33" t="inlineStr">
        <is>
          <t>4. Industria</t>
        </is>
      </c>
      <c r="H421" s="33" t="inlineStr">
        <is>
          <t>4.8 Fundiciones y colada de metales</t>
        </is>
      </c>
      <c r="R421" s="18">
        <f>G421&amp;"|"&amp;B421</f>
        <v/>
      </c>
    </row>
    <row r="422">
      <c r="B422" s="33" t="inlineStr">
        <is>
          <t>Trabajo en cubas, toneles, fosos</t>
        </is>
      </c>
      <c r="C422" s="46" t="n">
        <v>200</v>
      </c>
      <c r="D422" s="46" t="n">
        <v>25</v>
      </c>
      <c r="E422" s="74" t="n">
        <v>0.4</v>
      </c>
      <c r="F422" s="46" t="n">
        <v>40</v>
      </c>
      <c r="G422" s="33" t="inlineStr">
        <is>
          <t>4. Industria</t>
        </is>
      </c>
      <c r="H422" s="33" t="inlineStr">
        <is>
          <t>4.9 Cuero y artículos de cuero</t>
        </is>
      </c>
      <c r="R422" s="18">
        <f>G422&amp;"|"&amp;B422</f>
        <v/>
      </c>
    </row>
    <row r="423">
      <c r="B423" s="33" t="inlineStr">
        <is>
          <t>Descarnado, raspado, frotado (pulido), tambor de limpieza de pieles</t>
        </is>
      </c>
      <c r="C423" s="46" t="n">
        <v>300</v>
      </c>
      <c r="D423" s="46" t="n">
        <v>25</v>
      </c>
      <c r="E423" s="74" t="n">
        <v>0.4</v>
      </c>
      <c r="F423" s="46" t="n">
        <v>80</v>
      </c>
      <c r="G423" s="33" t="inlineStr">
        <is>
          <t>4. Industria</t>
        </is>
      </c>
      <c r="H423" s="33" t="inlineStr">
        <is>
          <t>4.9 Cuero y artículos de cuero</t>
        </is>
      </c>
      <c r="R423" s="18">
        <f>G423&amp;"|"&amp;B423</f>
        <v/>
      </c>
    </row>
    <row r="424">
      <c r="B424" s="33" t="inlineStr">
        <is>
          <t>Talabartería, fabricación de calzado, punteadora, cosido, pulido, conformado, corte, punzonado</t>
        </is>
      </c>
      <c r="C424" s="46" t="n">
        <v>500</v>
      </c>
      <c r="D424" s="46" t="n">
        <v>22</v>
      </c>
      <c r="E424" s="74" t="n">
        <v>0.6</v>
      </c>
      <c r="F424" s="46" t="n">
        <v>80</v>
      </c>
      <c r="G424" s="33" t="inlineStr">
        <is>
          <t>4. Industria</t>
        </is>
      </c>
      <c r="H424" s="33" t="inlineStr">
        <is>
          <t>4.9 Cuero y artículos de cuero</t>
        </is>
      </c>
      <c r="R424" s="18">
        <f>G424&amp;"|"&amp;B424</f>
        <v/>
      </c>
    </row>
    <row r="425">
      <c r="B425" s="33" t="inlineStr">
        <is>
          <t>Clasificación</t>
        </is>
      </c>
      <c r="C425" s="46" t="n">
        <v>500</v>
      </c>
      <c r="D425" s="46" t="n">
        <v>22</v>
      </c>
      <c r="E425" s="74" t="n">
        <v>0.6</v>
      </c>
      <c r="F425" s="46" t="n">
        <v>90</v>
      </c>
      <c r="G425" s="33" t="inlineStr">
        <is>
          <t>4. Industria</t>
        </is>
      </c>
      <c r="H425" s="33" t="inlineStr">
        <is>
          <t>4.9 Cuero y artículos de cuero</t>
        </is>
      </c>
      <c r="R425" s="18">
        <f>G425&amp;"|"&amp;B425</f>
        <v/>
      </c>
    </row>
    <row r="426">
      <c r="B426" s="33" t="inlineStr">
        <is>
          <t>Teñido del cuero (a máquina)</t>
        </is>
      </c>
      <c r="C426" s="46" t="n">
        <v>500</v>
      </c>
      <c r="D426" s="46" t="n">
        <v>22</v>
      </c>
      <c r="E426" s="74" t="n">
        <v>0.6</v>
      </c>
      <c r="F426" s="46" t="n">
        <v>80</v>
      </c>
      <c r="G426" s="33" t="inlineStr">
        <is>
          <t>4. Industria</t>
        </is>
      </c>
      <c r="H426" s="33" t="inlineStr">
        <is>
          <t>4.9 Cuero y artículos de cuero</t>
        </is>
      </c>
      <c r="R426" s="18">
        <f>G426&amp;"|"&amp;B426</f>
        <v/>
      </c>
    </row>
    <row r="427">
      <c r="B427" s="33" t="inlineStr">
        <is>
          <t>Control de la calidad</t>
        </is>
      </c>
      <c r="C427" s="46" t="n">
        <v>1000</v>
      </c>
      <c r="D427" s="46" t="n">
        <v>19</v>
      </c>
      <c r="E427" s="74" t="n">
        <v>0.7</v>
      </c>
      <c r="F427" s="46" t="n">
        <v>80</v>
      </c>
      <c r="G427" s="33" t="inlineStr">
        <is>
          <t>4. Industria</t>
        </is>
      </c>
      <c r="H427" s="33" t="inlineStr">
        <is>
          <t>4.9 Cuero y artículos de cuero</t>
        </is>
      </c>
      <c r="R427" s="18">
        <f>G427&amp;"|"&amp;B427</f>
        <v/>
      </c>
    </row>
    <row r="428">
      <c r="B428" s="33" t="inlineStr">
        <is>
          <t>Inspección del color</t>
        </is>
      </c>
      <c r="C428" s="46" t="n">
        <v>1000</v>
      </c>
      <c r="D428" s="46" t="n">
        <v>16</v>
      </c>
      <c r="E428" s="74" t="n">
        <v>0.7</v>
      </c>
      <c r="F428" s="46" t="n">
        <v>90</v>
      </c>
      <c r="G428" s="33" t="inlineStr">
        <is>
          <t>4. Industria</t>
        </is>
      </c>
      <c r="H428" s="33" t="inlineStr">
        <is>
          <t>4.9 Cuero y artículos de cuero</t>
        </is>
      </c>
      <c r="R428" s="18">
        <f>G428&amp;"|"&amp;B428</f>
        <v/>
      </c>
    </row>
    <row r="429">
      <c r="B429" s="33" t="inlineStr">
        <is>
          <t>Elaboración de calzado</t>
        </is>
      </c>
      <c r="C429" s="46" t="n">
        <v>500</v>
      </c>
      <c r="D429" s="46" t="n">
        <v>22</v>
      </c>
      <c r="E429" s="74" t="n">
        <v>0.6</v>
      </c>
      <c r="F429" s="46" t="n">
        <v>80</v>
      </c>
      <c r="G429" s="33" t="inlineStr">
        <is>
          <t>4. Industria</t>
        </is>
      </c>
      <c r="H429" s="33" t="inlineStr">
        <is>
          <t>4.9 Cuero y artículos de cuero</t>
        </is>
      </c>
      <c r="R429" s="18">
        <f>G429&amp;"|"&amp;B429</f>
        <v/>
      </c>
    </row>
    <row r="430">
      <c r="B430" s="33" t="inlineStr">
        <is>
          <t>Elaboración de guantes</t>
        </is>
      </c>
      <c r="C430" s="46" t="n">
        <v>500</v>
      </c>
      <c r="D430" s="46" t="n">
        <v>22</v>
      </c>
      <c r="E430" s="74" t="n">
        <v>0.6</v>
      </c>
      <c r="F430" s="46" t="n">
        <v>80</v>
      </c>
      <c r="G430" s="33" t="inlineStr">
        <is>
          <t>4. Industria</t>
        </is>
      </c>
      <c r="H430" s="33" t="inlineStr">
        <is>
          <t>4.9 Cuero y artículos de cuero</t>
        </is>
      </c>
      <c r="R430" s="18">
        <f>G430&amp;"|"&amp;B430</f>
        <v/>
      </c>
    </row>
    <row r="431">
      <c r="B431" s="33" t="inlineStr">
        <is>
          <t>Forjado con estampa abierta</t>
        </is>
      </c>
      <c r="C431" s="46" t="n">
        <v>200</v>
      </c>
      <c r="D431" s="46" t="n">
        <v>25</v>
      </c>
      <c r="E431" s="74" t="n">
        <v>0.6</v>
      </c>
      <c r="F431" s="46" t="n">
        <v>60</v>
      </c>
      <c r="G431" s="33" t="inlineStr">
        <is>
          <t>4. Industria</t>
        </is>
      </c>
      <c r="H431" s="33" t="inlineStr">
        <is>
          <t>4.10 Trabajo y tratamiento de metales</t>
        </is>
      </c>
      <c r="R431" s="18">
        <f>G431&amp;"|"&amp;B431</f>
        <v/>
      </c>
    </row>
    <row r="432">
      <c r="B432" s="33" t="inlineStr">
        <is>
          <t>Forjado por estampación (en caliente), soldadura, extrusión en frío</t>
        </is>
      </c>
      <c r="C432" s="46" t="n">
        <v>300</v>
      </c>
      <c r="D432" s="46" t="n">
        <v>25</v>
      </c>
      <c r="E432" s="74" t="n">
        <v>0.6</v>
      </c>
      <c r="F432" s="46" t="n">
        <v>60</v>
      </c>
      <c r="G432" s="33" t="inlineStr">
        <is>
          <t>4. Industria</t>
        </is>
      </c>
      <c r="H432" s="33" t="inlineStr">
        <is>
          <t>4.10 Trabajo y tratamiento de metales</t>
        </is>
      </c>
      <c r="R432" s="18">
        <f>G432&amp;"|"&amp;B432</f>
        <v/>
      </c>
    </row>
    <row r="433">
      <c r="B433" s="33" t="inlineStr">
        <is>
          <t>Maquinado grueso y medio: tolerancias &gt; 0,1 mm</t>
        </is>
      </c>
      <c r="C433" s="46" t="n">
        <v>300</v>
      </c>
      <c r="D433" s="46" t="n">
        <v>22</v>
      </c>
      <c r="E433" s="74" t="n">
        <v>0.6</v>
      </c>
      <c r="F433" s="46" t="n">
        <v>60</v>
      </c>
      <c r="G433" s="33" t="inlineStr">
        <is>
          <t>4. Industria</t>
        </is>
      </c>
      <c r="H433" s="33" t="inlineStr">
        <is>
          <t>4.10 Trabajo y tratamiento de metales</t>
        </is>
      </c>
      <c r="R433" s="18">
        <f>G433&amp;"|"&amp;B433</f>
        <v/>
      </c>
    </row>
    <row r="434">
      <c r="B434" s="33" t="inlineStr">
        <is>
          <t>Maquinado de precisión, rectificado: tolerancias &lt; 0,1 mm</t>
        </is>
      </c>
      <c r="C434" s="46" t="n">
        <v>500</v>
      </c>
      <c r="D434" s="46" t="n">
        <v>19</v>
      </c>
      <c r="E434" s="74" t="n">
        <v>0.7</v>
      </c>
      <c r="F434" s="46" t="n">
        <v>60</v>
      </c>
      <c r="G434" s="33" t="inlineStr">
        <is>
          <t>4. Industria</t>
        </is>
      </c>
      <c r="H434" s="33" t="inlineStr">
        <is>
          <t>4.10 Trabajo y tratamiento de metales</t>
        </is>
      </c>
      <c r="R434" s="18">
        <f>G434&amp;"|"&amp;B434</f>
        <v/>
      </c>
    </row>
    <row r="435">
      <c r="B435" s="33" t="inlineStr">
        <is>
          <t>Marcado (trazado); inspección</t>
        </is>
      </c>
      <c r="C435" s="46" t="n">
        <v>750</v>
      </c>
      <c r="D435" s="46" t="n">
        <v>19</v>
      </c>
      <c r="E435" s="74" t="n">
        <v>0.7</v>
      </c>
      <c r="F435" s="46" t="n">
        <v>60</v>
      </c>
      <c r="G435" s="33" t="inlineStr">
        <is>
          <t>4. Industria</t>
        </is>
      </c>
      <c r="H435" s="33" t="inlineStr">
        <is>
          <t>4.10 Trabajo y tratamiento de metales</t>
        </is>
      </c>
      <c r="R435" s="18">
        <f>G435&amp;"|"&amp;B435</f>
        <v/>
      </c>
    </row>
    <row r="436">
      <c r="B436" s="33" t="inlineStr">
        <is>
          <t>Plantillas de dibujo de alambres y tuberías</t>
        </is>
      </c>
      <c r="C436" s="46" t="n">
        <v>300</v>
      </c>
      <c r="D436" s="46" t="n">
        <v>25</v>
      </c>
      <c r="E436" s="74" t="n">
        <v>0.6</v>
      </c>
      <c r="F436" s="46" t="n">
        <v>60</v>
      </c>
      <c r="G436" s="33" t="inlineStr">
        <is>
          <t>4. Industria</t>
        </is>
      </c>
      <c r="H436" s="33" t="inlineStr">
        <is>
          <t>4.10 Trabajo y tratamiento de metales</t>
        </is>
      </c>
      <c r="R436" s="18">
        <f>G436&amp;"|"&amp;B436</f>
        <v/>
      </c>
    </row>
    <row r="437">
      <c r="B437" s="33" t="inlineStr">
        <is>
          <t>Maquinado de planchas &gt; 5 mm</t>
        </is>
      </c>
      <c r="C437" s="46" t="n">
        <v>200</v>
      </c>
      <c r="D437" s="46" t="n">
        <v>25</v>
      </c>
      <c r="E437" s="74" t="n">
        <v>0.6</v>
      </c>
      <c r="F437" s="46" t="n">
        <v>60</v>
      </c>
      <c r="G437" s="33" t="inlineStr">
        <is>
          <t>4. Industria</t>
        </is>
      </c>
      <c r="H437" s="33" t="inlineStr">
        <is>
          <t>4.10 Trabajo y tratamiento de metales</t>
        </is>
      </c>
      <c r="R437" s="18">
        <f>G437&amp;"|"&amp;B437</f>
        <v/>
      </c>
    </row>
    <row r="438">
      <c r="B438" s="33" t="inlineStr">
        <is>
          <t>Labrado (metalisterías) de chapas &lt; 5 mm</t>
        </is>
      </c>
      <c r="C438" s="46" t="n">
        <v>300</v>
      </c>
      <c r="D438" s="46" t="n">
        <v>22</v>
      </c>
      <c r="E438" s="74" t="n">
        <v>0.6</v>
      </c>
      <c r="F438" s="46" t="n">
        <v>60</v>
      </c>
      <c r="G438" s="33" t="inlineStr">
        <is>
          <t>4. Industria</t>
        </is>
      </c>
      <c r="H438" s="33" t="inlineStr">
        <is>
          <t>4.10 Trabajo y tratamiento de metales</t>
        </is>
      </c>
      <c r="R438" s="18">
        <f>G438&amp;"|"&amp;B438</f>
        <v/>
      </c>
    </row>
    <row r="439">
      <c r="B439" s="33" t="inlineStr">
        <is>
          <t>Elaboración de herramientas: fabricación de equipos de corte</t>
        </is>
      </c>
      <c r="C439" s="46" t="n">
        <v>750</v>
      </c>
      <c r="D439" s="46" t="n">
        <v>19</v>
      </c>
      <c r="E439" s="74" t="n">
        <v>0.7</v>
      </c>
      <c r="F439" s="46" t="n">
        <v>60</v>
      </c>
      <c r="G439" s="33" t="inlineStr">
        <is>
          <t>4. Industria</t>
        </is>
      </c>
      <c r="H439" s="33" t="inlineStr">
        <is>
          <t>4.10 Trabajo y tratamiento de metales</t>
        </is>
      </c>
      <c r="R439" s="18">
        <f>G439&amp;"|"&amp;B439</f>
        <v/>
      </c>
    </row>
    <row r="440">
      <c r="B440" s="33" t="inlineStr">
        <is>
          <t>Montaje grueso</t>
        </is>
      </c>
      <c r="C440" s="46" t="n">
        <v>200</v>
      </c>
      <c r="D440" s="46" t="n">
        <v>25</v>
      </c>
      <c r="E440" s="74" t="n">
        <v>0.6</v>
      </c>
      <c r="F440" s="46" t="n">
        <v>80</v>
      </c>
      <c r="G440" s="33" t="inlineStr">
        <is>
          <t>4. Industria</t>
        </is>
      </c>
      <c r="H440" s="33" t="inlineStr">
        <is>
          <t>4.10 Trabajo y tratamiento de metales</t>
        </is>
      </c>
      <c r="R440" s="18">
        <f>G440&amp;"|"&amp;B440</f>
        <v/>
      </c>
    </row>
    <row r="441">
      <c r="B441" s="33" t="inlineStr">
        <is>
          <t>Montaje medio</t>
        </is>
      </c>
      <c r="C441" s="46" t="n">
        <v>300</v>
      </c>
      <c r="D441" s="46" t="n">
        <v>25</v>
      </c>
      <c r="E441" s="74" t="n">
        <v>0.6</v>
      </c>
      <c r="F441" s="46" t="n">
        <v>80</v>
      </c>
      <c r="G441" s="33" t="inlineStr">
        <is>
          <t>4. Industria</t>
        </is>
      </c>
      <c r="H441" s="33" t="inlineStr">
        <is>
          <t>4.10 Trabajo y tratamiento de metales</t>
        </is>
      </c>
      <c r="R441" s="18">
        <f>G441&amp;"|"&amp;B441</f>
        <v/>
      </c>
    </row>
    <row r="442">
      <c r="B442" s="33" t="inlineStr">
        <is>
          <t>Montaje fino</t>
        </is>
      </c>
      <c r="C442" s="46" t="n">
        <v>500</v>
      </c>
      <c r="D442" s="46" t="n">
        <v>22</v>
      </c>
      <c r="E442" s="74" t="n">
        <v>0.6</v>
      </c>
      <c r="F442" s="46" t="n">
        <v>80</v>
      </c>
      <c r="G442" s="33" t="inlineStr">
        <is>
          <t>4. Industria</t>
        </is>
      </c>
      <c r="H442" s="33" t="inlineStr">
        <is>
          <t>4.10 Trabajo y tratamiento de metales</t>
        </is>
      </c>
      <c r="R442" s="18">
        <f>G442&amp;"|"&amp;B442</f>
        <v/>
      </c>
    </row>
    <row r="443">
      <c r="B443" s="33" t="inlineStr">
        <is>
          <t>Montaje de precisión</t>
        </is>
      </c>
      <c r="C443" s="46" t="n">
        <v>750</v>
      </c>
      <c r="D443" s="46" t="n">
        <v>19</v>
      </c>
      <c r="E443" s="74" t="n">
        <v>0.7</v>
      </c>
      <c r="F443" s="46" t="n">
        <v>80</v>
      </c>
      <c r="G443" s="33" t="inlineStr">
        <is>
          <t>4. Industria</t>
        </is>
      </c>
      <c r="H443" s="33" t="inlineStr">
        <is>
          <t>4.10 Trabajo y tratamiento de metales</t>
        </is>
      </c>
      <c r="R443" s="18">
        <f>G443&amp;"|"&amp;B443</f>
        <v/>
      </c>
    </row>
    <row r="444">
      <c r="B444" s="33" t="inlineStr">
        <is>
          <t>Trabajo y tratamiento de metales: Galvanización</t>
        </is>
      </c>
      <c r="C444" s="46" t="n">
        <v>300</v>
      </c>
      <c r="D444" s="46" t="n">
        <v>25</v>
      </c>
      <c r="E444" s="74" t="n">
        <v>0.6</v>
      </c>
      <c r="F444" s="46" t="n">
        <v>80</v>
      </c>
      <c r="G444" s="33" t="inlineStr">
        <is>
          <t>4. Industria</t>
        </is>
      </c>
      <c r="H444" s="33" t="inlineStr">
        <is>
          <t>4.10 Trabajo y tratamiento de metales</t>
        </is>
      </c>
      <c r="R444" s="18">
        <f>G444&amp;"|"&amp;B444</f>
        <v/>
      </c>
    </row>
    <row r="445">
      <c r="B445" s="33" t="inlineStr">
        <is>
          <t>Preparación y pintura de las superficies</t>
        </is>
      </c>
      <c r="C445" s="46" t="n">
        <v>750</v>
      </c>
      <c r="D445" s="46" t="n">
        <v>25</v>
      </c>
      <c r="E445" s="74" t="n">
        <v>0.7</v>
      </c>
      <c r="F445" s="46" t="n">
        <v>80</v>
      </c>
      <c r="G445" s="33" t="inlineStr">
        <is>
          <t>4. Industria</t>
        </is>
      </c>
      <c r="H445" s="33" t="inlineStr">
        <is>
          <t>4.10 Trabajo y tratamiento de metales</t>
        </is>
      </c>
      <c r="R445" s="18">
        <f>G445&amp;"|"&amp;B445</f>
        <v/>
      </c>
    </row>
    <row r="446">
      <c r="B446" s="33" t="inlineStr">
        <is>
          <t>Herramientas, plantillas y taladradores; mecánica de precisión, micromecánica</t>
        </is>
      </c>
      <c r="C446" s="46" t="n">
        <v>1000</v>
      </c>
      <c r="D446" s="46" t="n">
        <v>19</v>
      </c>
      <c r="E446" s="74" t="n">
        <v>0.7</v>
      </c>
      <c r="F446" s="46" t="n">
        <v>80</v>
      </c>
      <c r="G446" s="33" t="inlineStr">
        <is>
          <t>4. Industria</t>
        </is>
      </c>
      <c r="H446" s="33" t="inlineStr">
        <is>
          <t>4.10 Trabajo y tratamiento de metales</t>
        </is>
      </c>
      <c r="R446" s="18">
        <f>G446&amp;"|"&amp;B446</f>
        <v/>
      </c>
    </row>
    <row r="447">
      <c r="B447" s="33" t="inlineStr">
        <is>
          <t>Molinos de pulpa, muelas verticales</t>
        </is>
      </c>
      <c r="C447" s="46" t="n">
        <v>200</v>
      </c>
      <c r="D447" s="46" t="n">
        <v>25</v>
      </c>
      <c r="E447" s="74" t="n">
        <v>0.4</v>
      </c>
      <c r="F447" s="46" t="n">
        <v>80</v>
      </c>
      <c r="G447" s="33" t="inlineStr">
        <is>
          <t>4. Industria</t>
        </is>
      </c>
      <c r="H447" s="33" t="inlineStr">
        <is>
          <t>4.11 Papel y artículos de papel</t>
        </is>
      </c>
      <c r="R447" s="18">
        <f>G447&amp;"|"&amp;B447</f>
        <v/>
      </c>
    </row>
    <row r="448">
      <c r="B448" s="33" t="inlineStr">
        <is>
          <t>Fabricación y procesamiento del papel, maquinaria papelera y de corrugación, cartones y cartulinas</t>
        </is>
      </c>
      <c r="C448" s="46" t="n">
        <v>300</v>
      </c>
      <c r="D448" s="46" t="n">
        <v>25</v>
      </c>
      <c r="E448" s="74" t="n">
        <v>0.6</v>
      </c>
      <c r="F448" s="46" t="n">
        <v>80</v>
      </c>
      <c r="G448" s="33" t="inlineStr">
        <is>
          <t>4. Industria</t>
        </is>
      </c>
      <c r="H448" s="33" t="inlineStr">
        <is>
          <t>4.11 Papel y artículos de papel</t>
        </is>
      </c>
      <c r="R448" s="18">
        <f>G448&amp;"|"&amp;B448</f>
        <v/>
      </c>
    </row>
    <row r="449">
      <c r="B449" s="33" t="inlineStr">
        <is>
          <t>Encuadernación de libros (doblado, clasificación, encolado, corte, estampado en relieve, cosido)</t>
        </is>
      </c>
      <c r="C449" s="46" t="n">
        <v>500</v>
      </c>
      <c r="D449" s="46" t="n">
        <v>22</v>
      </c>
      <c r="E449" s="74" t="n">
        <v>0.6</v>
      </c>
      <c r="F449" s="46" t="n">
        <v>60</v>
      </c>
      <c r="G449" s="33" t="inlineStr">
        <is>
          <t>4. Industria</t>
        </is>
      </c>
      <c r="H449" s="33" t="inlineStr">
        <is>
          <t>4.11 Papel y artículos de papel</t>
        </is>
      </c>
      <c r="R449" s="18">
        <f>G449&amp;"|"&amp;B449</f>
        <v/>
      </c>
    </row>
    <row r="450">
      <c r="B450" s="33" t="inlineStr">
        <is>
          <t>Planta de suministro de combustible</t>
        </is>
      </c>
      <c r="C450" s="46" t="n">
        <v>50</v>
      </c>
      <c r="D450" s="46" t="inlineStr">
        <is>
          <t>—</t>
        </is>
      </c>
      <c r="E450" s="74" t="n">
        <v>0.4</v>
      </c>
      <c r="F450" s="46" t="n">
        <v>20</v>
      </c>
      <c r="G450" s="33" t="inlineStr">
        <is>
          <t>4. Industria</t>
        </is>
      </c>
      <c r="H450" s="33" t="inlineStr">
        <is>
          <t>4.12 Centrales de energía eléctrica</t>
        </is>
      </c>
      <c r="R450" s="18">
        <f>G450&amp;"|"&amp;B450</f>
        <v/>
      </c>
    </row>
    <row r="451">
      <c r="B451" s="33" t="inlineStr">
        <is>
          <t>Casa de calderas</t>
        </is>
      </c>
      <c r="C451" s="46" t="n">
        <v>100</v>
      </c>
      <c r="D451" s="46" t="n">
        <v>28</v>
      </c>
      <c r="E451" s="74" t="n">
        <v>0.4</v>
      </c>
      <c r="F451" s="46" t="n">
        <v>40</v>
      </c>
      <c r="G451" s="33" t="inlineStr">
        <is>
          <t>4. Industria</t>
        </is>
      </c>
      <c r="H451" s="33" t="inlineStr">
        <is>
          <t>4.12 Centrales de energía eléctrica</t>
        </is>
      </c>
      <c r="R451" s="18">
        <f>G451&amp;"|"&amp;B451</f>
        <v/>
      </c>
    </row>
    <row r="452">
      <c r="B452" s="33" t="inlineStr">
        <is>
          <t>Salas de máquinas</t>
        </is>
      </c>
      <c r="C452" s="46" t="n">
        <v>200</v>
      </c>
      <c r="D452" s="46" t="n">
        <v>25</v>
      </c>
      <c r="E452" s="74" t="n">
        <v>0.4</v>
      </c>
      <c r="F452" s="46" t="n">
        <v>80</v>
      </c>
      <c r="G452" s="33" t="inlineStr">
        <is>
          <t>4. Industria</t>
        </is>
      </c>
      <c r="H452" s="33" t="inlineStr">
        <is>
          <t>4.12 Centrales de energía eléctrica</t>
        </is>
      </c>
      <c r="R452" s="18">
        <f>G452&amp;"|"&amp;B452</f>
        <v/>
      </c>
    </row>
    <row r="453">
      <c r="B453" s="33" t="inlineStr">
        <is>
          <t>Locales auxiliares (cuartos de bombas, de condensadores, de paneles eléctricos, etc.)</t>
        </is>
      </c>
      <c r="C453" s="46" t="n">
        <v>200</v>
      </c>
      <c r="D453" s="46" t="n">
        <v>25</v>
      </c>
      <c r="E453" s="74" t="n">
        <v>0.4</v>
      </c>
      <c r="F453" s="46" t="n">
        <v>60</v>
      </c>
      <c r="G453" s="33" t="inlineStr">
        <is>
          <t>4. Industria</t>
        </is>
      </c>
      <c r="H453" s="33" t="inlineStr">
        <is>
          <t>4.12 Centrales de energía eléctrica</t>
        </is>
      </c>
      <c r="R453" s="18">
        <f>G453&amp;"|"&amp;B453</f>
        <v/>
      </c>
    </row>
    <row r="454">
      <c r="B454" s="33" t="inlineStr">
        <is>
          <t>Cuartos de control</t>
        </is>
      </c>
      <c r="C454" s="46" t="n">
        <v>500</v>
      </c>
      <c r="D454" s="46" t="n">
        <v>16</v>
      </c>
      <c r="E454" s="74" t="n">
        <v>0.7</v>
      </c>
      <c r="F454" s="46" t="n">
        <v>80</v>
      </c>
      <c r="G454" s="33" t="inlineStr">
        <is>
          <t>4. Industria</t>
        </is>
      </c>
      <c r="H454" s="33" t="inlineStr">
        <is>
          <t>4.12 Centrales de energía eléctrica</t>
        </is>
      </c>
      <c r="R454" s="18">
        <f>G454&amp;"|"&amp;B454</f>
        <v/>
      </c>
    </row>
    <row r="455">
      <c r="B455" s="33" t="inlineStr">
        <is>
          <t>Corte, dorado, estampado, grabado en bloque, sillares y platinas, imprentas, elaboración de matrices</t>
        </is>
      </c>
      <c r="C455" s="46" t="n">
        <v>500</v>
      </c>
      <c r="D455" s="46" t="n">
        <v>19</v>
      </c>
      <c r="E455" s="74" t="n">
        <v>0.6</v>
      </c>
      <c r="F455" s="46" t="n">
        <v>80</v>
      </c>
      <c r="G455" s="33" t="inlineStr">
        <is>
          <t>4. Industria</t>
        </is>
      </c>
      <c r="H455" s="33" t="inlineStr">
        <is>
          <t>4.13 Imprentas</t>
        </is>
      </c>
      <c r="R455" s="18">
        <f>G455&amp;"|"&amp;B455</f>
        <v/>
      </c>
    </row>
    <row r="456">
      <c r="B456" s="33" t="inlineStr">
        <is>
          <t>Clasificación del papel e impresión a mano</t>
        </is>
      </c>
      <c r="C456" s="46" t="n">
        <v>500</v>
      </c>
      <c r="D456" s="46" t="n">
        <v>19</v>
      </c>
      <c r="E456" s="74" t="n">
        <v>0.6</v>
      </c>
      <c r="F456" s="46" t="n">
        <v>80</v>
      </c>
      <c r="G456" s="33" t="inlineStr">
        <is>
          <t>4. Industria</t>
        </is>
      </c>
      <c r="H456" s="33" t="inlineStr">
        <is>
          <t>4.13 Imprentas</t>
        </is>
      </c>
      <c r="R456" s="18">
        <f>G456&amp;"|"&amp;B456</f>
        <v/>
      </c>
    </row>
    <row r="457">
      <c r="B457" s="33" t="inlineStr">
        <is>
          <t>Linotipia, retoque, litografía</t>
        </is>
      </c>
      <c r="C457" s="46" t="n">
        <v>1000</v>
      </c>
      <c r="D457" s="46" t="n">
        <v>19</v>
      </c>
      <c r="E457" s="74" t="n">
        <v>0.7</v>
      </c>
      <c r="F457" s="46" t="n">
        <v>80</v>
      </c>
      <c r="G457" s="33" t="inlineStr">
        <is>
          <t>4. Industria</t>
        </is>
      </c>
      <c r="H457" s="33" t="inlineStr">
        <is>
          <t>4.13 Imprentas</t>
        </is>
      </c>
      <c r="R457" s="18">
        <f>G457&amp;"|"&amp;B457</f>
        <v/>
      </c>
    </row>
    <row r="458">
      <c r="B458" s="33" t="inlineStr">
        <is>
          <t>Inspección de colores en impresión multicolor</t>
        </is>
      </c>
      <c r="C458" s="46" t="n">
        <v>1500</v>
      </c>
      <c r="D458" s="46" t="n">
        <v>16</v>
      </c>
      <c r="E458" s="74" t="n">
        <v>0.7</v>
      </c>
      <c r="F458" s="46" t="n">
        <v>90</v>
      </c>
      <c r="G458" s="33" t="inlineStr">
        <is>
          <t>4. Industria</t>
        </is>
      </c>
      <c r="H458" s="33" t="inlineStr">
        <is>
          <t>4.13 Imprentas</t>
        </is>
      </c>
      <c r="R458" s="18">
        <f>G458&amp;"|"&amp;B458</f>
        <v/>
      </c>
    </row>
    <row r="459">
      <c r="B459" s="33" t="inlineStr">
        <is>
          <t>Grabado en acero y cobre</t>
        </is>
      </c>
      <c r="C459" s="46" t="n">
        <v>2000</v>
      </c>
      <c r="D459" s="46" t="n">
        <v>16</v>
      </c>
      <c r="E459" s="74" t="n">
        <v>0.7</v>
      </c>
      <c r="F459" s="46" t="n">
        <v>80</v>
      </c>
      <c r="G459" s="33" t="inlineStr">
        <is>
          <t>4. Industria</t>
        </is>
      </c>
      <c r="H459" s="33" t="inlineStr">
        <is>
          <t>4.13 Imprentas</t>
        </is>
      </c>
      <c r="R459" s="18">
        <f>G459&amp;"|"&amp;B459</f>
        <v/>
      </c>
    </row>
    <row r="460">
      <c r="B460" s="33" t="inlineStr">
        <is>
          <t>Plantas de producción sin intervención manual</t>
        </is>
      </c>
      <c r="C460" s="46" t="n">
        <v>50</v>
      </c>
      <c r="D460" s="46" t="inlineStr">
        <is>
          <t>—</t>
        </is>
      </c>
      <c r="E460" s="74" t="n">
        <v>0.4</v>
      </c>
      <c r="F460" s="46" t="n">
        <v>20</v>
      </c>
      <c r="G460" s="33" t="inlineStr">
        <is>
          <t>4. Industria</t>
        </is>
      </c>
      <c r="H460" s="33" t="inlineStr">
        <is>
          <t>4.14 Laminación, instalaciones siderúrgicas</t>
        </is>
      </c>
      <c r="R460" s="18">
        <f>G460&amp;"|"&amp;B460</f>
        <v/>
      </c>
    </row>
    <row r="461">
      <c r="B461" s="33" t="inlineStr">
        <is>
          <t>Plantas de producción con operación manual ocasionalmente</t>
        </is>
      </c>
      <c r="C461" s="46" t="n">
        <v>150</v>
      </c>
      <c r="D461" s="46" t="n">
        <v>28</v>
      </c>
      <c r="E461" s="74" t="n">
        <v>0.4</v>
      </c>
      <c r="F461" s="46" t="n">
        <v>40</v>
      </c>
      <c r="G461" s="33" t="inlineStr">
        <is>
          <t>4. Industria</t>
        </is>
      </c>
      <c r="H461" s="33" t="inlineStr">
        <is>
          <t>4.14 Laminación, instalaciones siderúrgicas</t>
        </is>
      </c>
      <c r="R461" s="18">
        <f>G461&amp;"|"&amp;B461</f>
        <v/>
      </c>
    </row>
    <row r="462">
      <c r="B462" s="33" t="inlineStr">
        <is>
          <t>Plantas de producción con operación manual continuamente</t>
        </is>
      </c>
      <c r="C462" s="46" t="n">
        <v>200</v>
      </c>
      <c r="D462" s="46" t="n">
        <v>25</v>
      </c>
      <c r="E462" s="74" t="n">
        <v>0.6</v>
      </c>
      <c r="F462" s="46" t="n">
        <v>80</v>
      </c>
      <c r="G462" s="33" t="inlineStr">
        <is>
          <t>4. Industria</t>
        </is>
      </c>
      <c r="H462" s="33" t="inlineStr">
        <is>
          <t>4.14 Laminación, instalaciones siderúrgicas</t>
        </is>
      </c>
      <c r="R462" s="18">
        <f>G462&amp;"|"&amp;B462</f>
        <v/>
      </c>
    </row>
    <row r="463">
      <c r="B463" s="33" t="inlineStr">
        <is>
          <t>Almacén de palanquilla</t>
        </is>
      </c>
      <c r="C463" s="46" t="n">
        <v>50</v>
      </c>
      <c r="D463" s="46" t="n">
        <v>28</v>
      </c>
      <c r="E463" s="74" t="n">
        <v>0.4</v>
      </c>
      <c r="F463" s="46" t="n">
        <v>20</v>
      </c>
      <c r="G463" s="33" t="inlineStr">
        <is>
          <t>4. Industria</t>
        </is>
      </c>
      <c r="H463" s="33" t="inlineStr">
        <is>
          <t>4.14 Laminación, instalaciones siderúrgicas</t>
        </is>
      </c>
      <c r="R463" s="18">
        <f>G463&amp;"|"&amp;B463</f>
        <v/>
      </c>
    </row>
    <row r="464">
      <c r="B464" s="33" t="inlineStr">
        <is>
          <t>Hornos</t>
        </is>
      </c>
      <c r="C464" s="46" t="n">
        <v>200</v>
      </c>
      <c r="D464" s="46" t="n">
        <v>25</v>
      </c>
      <c r="E464" s="74" t="n">
        <v>0.4</v>
      </c>
      <c r="F464" s="46" t="n">
        <v>20</v>
      </c>
      <c r="G464" s="33" t="inlineStr">
        <is>
          <t>4. Industria</t>
        </is>
      </c>
      <c r="H464" s="33" t="inlineStr">
        <is>
          <t>4.14 Laminación, instalaciones siderúrgicas</t>
        </is>
      </c>
      <c r="R464" s="18">
        <f>G464&amp;"|"&amp;B464</f>
        <v/>
      </c>
    </row>
    <row r="465">
      <c r="B465" s="33" t="inlineStr">
        <is>
          <t>Tren de laminación, bobinador, línea de cizallamiento</t>
        </is>
      </c>
      <c r="C465" s="46" t="n">
        <v>300</v>
      </c>
      <c r="D465" s="46" t="n">
        <v>25</v>
      </c>
      <c r="E465" s="74" t="n">
        <v>0.6</v>
      </c>
      <c r="F465" s="46" t="n">
        <v>40</v>
      </c>
      <c r="G465" s="33" t="inlineStr">
        <is>
          <t>4. Industria</t>
        </is>
      </c>
      <c r="H465" s="33" t="inlineStr">
        <is>
          <t>4.14 Laminación, instalaciones siderúrgicas</t>
        </is>
      </c>
      <c r="R465" s="18">
        <f>G465&amp;"|"&amp;B465</f>
        <v/>
      </c>
    </row>
    <row r="466">
      <c r="B466" s="33" t="inlineStr">
        <is>
          <t>Plataformas de control, paneles de control</t>
        </is>
      </c>
      <c r="C466" s="46" t="n">
        <v>300</v>
      </c>
      <c r="D466" s="46" t="n">
        <v>22</v>
      </c>
      <c r="E466" s="74" t="n">
        <v>0.6</v>
      </c>
      <c r="F466" s="46" t="n">
        <v>80</v>
      </c>
      <c r="G466" s="33" t="inlineStr">
        <is>
          <t>4. Industria</t>
        </is>
      </c>
      <c r="H466" s="33" t="inlineStr">
        <is>
          <t>4.14 Laminación, instalaciones siderúrgicas</t>
        </is>
      </c>
      <c r="R466" s="18">
        <f>G466&amp;"|"&amp;B466</f>
        <v/>
      </c>
    </row>
    <row r="467">
      <c r="B467" s="33" t="inlineStr">
        <is>
          <t>Ensayo, medición e inspección</t>
        </is>
      </c>
      <c r="C467" s="46" t="n">
        <v>500</v>
      </c>
      <c r="D467" s="46" t="n">
        <v>22</v>
      </c>
      <c r="E467" s="74" t="n">
        <v>0.6</v>
      </c>
      <c r="F467" s="46" t="n">
        <v>80</v>
      </c>
      <c r="G467" s="33" t="inlineStr">
        <is>
          <t>4. Industria</t>
        </is>
      </c>
      <c r="H467" s="33" t="inlineStr">
        <is>
          <t>4.14 Laminación, instalaciones siderúrgicas</t>
        </is>
      </c>
      <c r="R467" s="18">
        <f>G467&amp;"|"&amp;B467</f>
        <v/>
      </c>
    </row>
    <row r="468">
      <c r="B468" s="33" t="inlineStr">
        <is>
          <t>Túneles soterrados (tamaño humano), cintas transportadoras, sótanos</t>
        </is>
      </c>
      <c r="C468" s="46" t="n">
        <v>50</v>
      </c>
      <c r="D468" s="46" t="n">
        <v>28</v>
      </c>
      <c r="E468" s="74" t="n">
        <v>0.4</v>
      </c>
      <c r="F468" s="46" t="n">
        <v>20</v>
      </c>
      <c r="G468" s="33" t="inlineStr">
        <is>
          <t>4. Industria</t>
        </is>
      </c>
      <c r="H468" s="33" t="inlineStr">
        <is>
          <t>4.14 Laminación, instalaciones siderúrgicas</t>
        </is>
      </c>
      <c r="R468" s="18">
        <f>G468&amp;"|"&amp;B468</f>
        <v/>
      </c>
    </row>
    <row r="469">
      <c r="B469" s="33" t="inlineStr">
        <is>
          <t>Lugares de trabajo y zonas en baños, apertura de pacas</t>
        </is>
      </c>
      <c r="C469" s="46" t="n">
        <v>200</v>
      </c>
      <c r="D469" s="46" t="n">
        <v>25</v>
      </c>
      <c r="E469" s="74" t="n">
        <v>0.6</v>
      </c>
      <c r="F469" s="46" t="n">
        <v>60</v>
      </c>
      <c r="G469" s="33" t="inlineStr">
        <is>
          <t>4. Industria</t>
        </is>
      </c>
      <c r="H469" s="33" t="inlineStr">
        <is>
          <t>4.15 Industria textil</t>
        </is>
      </c>
      <c r="R469" s="18">
        <f>G469&amp;"|"&amp;B469</f>
        <v/>
      </c>
    </row>
    <row r="470">
      <c r="B470" s="33" t="inlineStr">
        <is>
          <t>Cardado, lavado, planchado, dibujo, peinado, apresto, tejeduría, prehilado, hiladura de yute y cáñamo</t>
        </is>
      </c>
      <c r="C470" s="46" t="n">
        <v>300</v>
      </c>
      <c r="D470" s="46" t="n">
        <v>22</v>
      </c>
      <c r="E470" s="74" t="n">
        <v>0.6</v>
      </c>
      <c r="F470" s="46" t="n">
        <v>80</v>
      </c>
      <c r="G470" s="33" t="inlineStr">
        <is>
          <t>4. Industria</t>
        </is>
      </c>
      <c r="H470" s="33" t="inlineStr">
        <is>
          <t>4.15 Industria textil</t>
        </is>
      </c>
      <c r="R470" s="18">
        <f>G470&amp;"|"&amp;B470</f>
        <v/>
      </c>
    </row>
    <row r="471">
      <c r="B471" s="33" t="inlineStr">
        <is>
          <t>Hilado, plegado, devanado, urdidura, tejeduría, trenzado, de punto tejido</t>
        </is>
      </c>
      <c r="C471" s="46" t="n">
        <v>500</v>
      </c>
      <c r="D471" s="46" t="n">
        <v>22</v>
      </c>
      <c r="E471" s="74" t="n">
        <v>0.6</v>
      </c>
      <c r="F471" s="46" t="n">
        <v>80</v>
      </c>
      <c r="G471" s="33" t="inlineStr">
        <is>
          <t>4. Industria</t>
        </is>
      </c>
      <c r="H471" s="33" t="inlineStr">
        <is>
          <t>4.15 Industria textil</t>
        </is>
      </c>
      <c r="R471" s="18">
        <f>G471&amp;"|"&amp;B471</f>
        <v/>
      </c>
    </row>
    <row r="472">
      <c r="B472" s="33" t="inlineStr">
        <is>
          <t>Urdimbre, tejido, trenzado, tricotado</t>
        </is>
      </c>
      <c r="C472" s="46" t="n">
        <v>500</v>
      </c>
      <c r="D472" s="46" t="n">
        <v>22</v>
      </c>
      <c r="E472" s="74" t="n">
        <v>0.6</v>
      </c>
      <c r="F472" s="46" t="n">
        <v>80</v>
      </c>
      <c r="G472" s="33" t="inlineStr">
        <is>
          <t>4. Industria</t>
        </is>
      </c>
      <c r="H472" s="33" t="inlineStr">
        <is>
          <t>4.15 Industria textil</t>
        </is>
      </c>
      <c r="R472" s="18">
        <f>G472&amp;"|"&amp;B472</f>
        <v/>
      </c>
    </row>
    <row r="473">
      <c r="B473" s="33" t="inlineStr">
        <is>
          <t>Costura, tejidos finos de punto, dar puntadas</t>
        </is>
      </c>
      <c r="C473" s="46" t="n">
        <v>750</v>
      </c>
      <c r="D473" s="46" t="n">
        <v>22</v>
      </c>
      <c r="E473" s="74" t="n">
        <v>0.7</v>
      </c>
      <c r="F473" s="46" t="n">
        <v>90</v>
      </c>
      <c r="G473" s="33" t="inlineStr">
        <is>
          <t>4. Industria</t>
        </is>
      </c>
      <c r="H473" s="33" t="inlineStr">
        <is>
          <t>4.15 Industria textil</t>
        </is>
      </c>
      <c r="R473" s="18">
        <f>G473&amp;"|"&amp;B473</f>
        <v/>
      </c>
    </row>
    <row r="474">
      <c r="B474" s="33" t="inlineStr">
        <is>
          <t>Diseño manual, dibujo de patrones</t>
        </is>
      </c>
      <c r="C474" s="46" t="n">
        <v>750</v>
      </c>
      <c r="D474" s="46" t="n">
        <v>22</v>
      </c>
      <c r="E474" s="74" t="n">
        <v>0.7</v>
      </c>
      <c r="F474" s="46" t="n">
        <v>90</v>
      </c>
      <c r="G474" s="33" t="inlineStr">
        <is>
          <t>4. Industria</t>
        </is>
      </c>
      <c r="H474" s="33" t="inlineStr">
        <is>
          <t>4.15 Industria textil</t>
        </is>
      </c>
      <c r="R474" s="18">
        <f>G474&amp;"|"&amp;B474</f>
        <v/>
      </c>
    </row>
    <row r="475">
      <c r="B475" s="33" t="inlineStr">
        <is>
          <t>Acabado, teñido</t>
        </is>
      </c>
      <c r="C475" s="46" t="n">
        <v>500</v>
      </c>
      <c r="D475" s="46" t="n">
        <v>22</v>
      </c>
      <c r="E475" s="74" t="n">
        <v>0.6</v>
      </c>
      <c r="F475" s="46" t="n">
        <v>80</v>
      </c>
      <c r="G475" s="33" t="inlineStr">
        <is>
          <t>4. Industria</t>
        </is>
      </c>
      <c r="H475" s="33" t="inlineStr">
        <is>
          <t>4.15 Industria textil</t>
        </is>
      </c>
      <c r="R475" s="18">
        <f>G475&amp;"|"&amp;B475</f>
        <v/>
      </c>
    </row>
    <row r="476">
      <c r="B476" s="33" t="inlineStr">
        <is>
          <t>Cuarto de secado</t>
        </is>
      </c>
      <c r="C476" s="46" t="n">
        <v>100</v>
      </c>
      <c r="D476" s="46" t="n">
        <v>28</v>
      </c>
      <c r="E476" s="74" t="n">
        <v>0.4</v>
      </c>
      <c r="F476" s="46" t="n">
        <v>60</v>
      </c>
      <c r="G476" s="33" t="inlineStr">
        <is>
          <t>4. Industria</t>
        </is>
      </c>
      <c r="H476" s="33" t="inlineStr">
        <is>
          <t>4.15 Industria textil</t>
        </is>
      </c>
      <c r="R476" s="18">
        <f>G476&amp;"|"&amp;B476</f>
        <v/>
      </c>
    </row>
    <row r="477">
      <c r="B477" s="33" t="inlineStr">
        <is>
          <t>Impresión automática en géneros</t>
        </is>
      </c>
      <c r="C477" s="46" t="n">
        <v>500</v>
      </c>
      <c r="D477" s="46" t="n">
        <v>25</v>
      </c>
      <c r="E477" s="74" t="n">
        <v>0.6</v>
      </c>
      <c r="F477" s="46" t="n">
        <v>80</v>
      </c>
      <c r="G477" s="33" t="inlineStr">
        <is>
          <t>4. Industria</t>
        </is>
      </c>
      <c r="H477" s="33" t="inlineStr">
        <is>
          <t>4.15 Industria textil</t>
        </is>
      </c>
      <c r="R477" s="18">
        <f>G477&amp;"|"&amp;B477</f>
        <v/>
      </c>
    </row>
    <row r="478">
      <c r="B478" s="33" t="inlineStr">
        <is>
          <t>Despinzado, batanado, galonado</t>
        </is>
      </c>
      <c r="C478" s="46" t="n">
        <v>1000</v>
      </c>
      <c r="D478" s="46" t="n">
        <v>19</v>
      </c>
      <c r="E478" s="74" t="n">
        <v>0.7</v>
      </c>
      <c r="F478" s="46" t="n">
        <v>80</v>
      </c>
      <c r="G478" s="33" t="inlineStr">
        <is>
          <t>4. Industria</t>
        </is>
      </c>
      <c r="H478" s="33" t="inlineStr">
        <is>
          <t>4.15 Industria textil</t>
        </is>
      </c>
      <c r="R478" s="18">
        <f>G478&amp;"|"&amp;B478</f>
        <v/>
      </c>
    </row>
    <row r="479">
      <c r="B479" s="33" t="inlineStr">
        <is>
          <t>Inspección de colores, control de tejidos</t>
        </is>
      </c>
      <c r="C479" s="46" t="n">
        <v>1000</v>
      </c>
      <c r="D479" s="46" t="n">
        <v>16</v>
      </c>
      <c r="E479" s="74" t="n">
        <v>0.7</v>
      </c>
      <c r="F479" s="46" t="n">
        <v>90</v>
      </c>
      <c r="G479" s="33" t="inlineStr">
        <is>
          <t>4. Industria</t>
        </is>
      </c>
      <c r="H479" s="33" t="inlineStr">
        <is>
          <t>4.15 Industria textil</t>
        </is>
      </c>
      <c r="R479" s="18">
        <f>G479&amp;"|"&amp;B479</f>
        <v/>
      </c>
    </row>
    <row r="480">
      <c r="B480" s="33" t="inlineStr">
        <is>
          <t>Zurcido invisible</t>
        </is>
      </c>
      <c r="C480" s="46" t="n">
        <v>1500</v>
      </c>
      <c r="D480" s="46" t="n">
        <v>19</v>
      </c>
      <c r="E480" s="74" t="n">
        <v>0.7</v>
      </c>
      <c r="F480" s="46" t="n">
        <v>90</v>
      </c>
      <c r="G480" s="33" t="inlineStr">
        <is>
          <t>4. Industria</t>
        </is>
      </c>
      <c r="H480" s="33" t="inlineStr">
        <is>
          <t>4.15 Industria textil</t>
        </is>
      </c>
      <c r="R480" s="18">
        <f>G480&amp;"|"&amp;B480</f>
        <v/>
      </c>
    </row>
    <row r="481">
      <c r="B481" s="33" t="inlineStr">
        <is>
          <t>Fabricación de sombreros</t>
        </is>
      </c>
      <c r="C481" s="46" t="n">
        <v>500</v>
      </c>
      <c r="D481" s="46" t="n">
        <v>22</v>
      </c>
      <c r="E481" s="74" t="n">
        <v>0.6</v>
      </c>
      <c r="F481" s="46" t="n">
        <v>80</v>
      </c>
      <c r="G481" s="33" t="inlineStr">
        <is>
          <t>4. Industria</t>
        </is>
      </c>
      <c r="H481" s="33" t="inlineStr">
        <is>
          <t>4.15 Industria textil</t>
        </is>
      </c>
      <c r="R481" s="18">
        <f>G481&amp;"|"&amp;B481</f>
        <v/>
      </c>
    </row>
    <row r="482">
      <c r="B482" s="33" t="inlineStr">
        <is>
          <t>Carrocería y ensamblaje</t>
        </is>
      </c>
      <c r="C482" s="46" t="n">
        <v>500</v>
      </c>
      <c r="D482" s="46" t="n">
        <v>22</v>
      </c>
      <c r="E482" s="74" t="n">
        <v>0.6</v>
      </c>
      <c r="F482" s="46" t="n">
        <v>80</v>
      </c>
      <c r="G482" s="33" t="inlineStr">
        <is>
          <t>4. Industria</t>
        </is>
      </c>
      <c r="H482" s="33" t="inlineStr">
        <is>
          <t>4.16 Fabricación de vehículos</t>
        </is>
      </c>
      <c r="R482" s="18">
        <f>G482&amp;"|"&amp;B482</f>
        <v/>
      </c>
    </row>
    <row r="483">
      <c r="B483" s="33" t="inlineStr">
        <is>
          <t>Pintura, cámara de pintar (con pistola), cámara de pulir</t>
        </is>
      </c>
      <c r="C483" s="46" t="n">
        <v>750</v>
      </c>
      <c r="D483" s="46" t="n">
        <v>22</v>
      </c>
      <c r="E483" s="74" t="n">
        <v>0.7</v>
      </c>
      <c r="F483" s="46" t="n">
        <v>80</v>
      </c>
      <c r="G483" s="33" t="inlineStr">
        <is>
          <t>4. Industria</t>
        </is>
      </c>
      <c r="H483" s="33" t="inlineStr">
        <is>
          <t>4.16 Fabricación de vehículos</t>
        </is>
      </c>
      <c r="R483" s="18">
        <f>G483&amp;"|"&amp;B483</f>
        <v/>
      </c>
    </row>
    <row r="484">
      <c r="B484" s="33" t="inlineStr">
        <is>
          <t>Pintura: retoque, inspección</t>
        </is>
      </c>
      <c r="C484" s="46" t="n">
        <v>1000</v>
      </c>
      <c r="D484" s="46" t="n">
        <v>16</v>
      </c>
      <c r="E484" s="74" t="n">
        <v>0.7</v>
      </c>
      <c r="F484" s="46" t="n">
        <v>90</v>
      </c>
      <c r="G484" s="33" t="inlineStr">
        <is>
          <t>4. Industria</t>
        </is>
      </c>
      <c r="H484" s="33" t="inlineStr">
        <is>
          <t>4.16 Fabricación de vehículos</t>
        </is>
      </c>
      <c r="R484" s="18">
        <f>G484&amp;"|"&amp;B484</f>
        <v/>
      </c>
    </row>
    <row r="485">
      <c r="B485" s="33" t="inlineStr">
        <is>
          <t>Tapicería (vestidura) manual</t>
        </is>
      </c>
      <c r="C485" s="46" t="n">
        <v>1000</v>
      </c>
      <c r="D485" s="46" t="n">
        <v>19</v>
      </c>
      <c r="E485" s="74" t="n">
        <v>0.7</v>
      </c>
      <c r="F485" s="46" t="n">
        <v>80</v>
      </c>
      <c r="G485" s="33" t="inlineStr">
        <is>
          <t>4. Industria</t>
        </is>
      </c>
      <c r="H485" s="33" t="inlineStr">
        <is>
          <t>4.16 Fabricación de vehículos</t>
        </is>
      </c>
      <c r="R485" s="18">
        <f>G485&amp;"|"&amp;B485</f>
        <v/>
      </c>
    </row>
    <row r="486">
      <c r="B486" s="33" t="inlineStr">
        <is>
          <t>Inspección final</t>
        </is>
      </c>
      <c r="C486" s="46" t="n">
        <v>1000</v>
      </c>
      <c r="D486" s="46" t="n">
        <v>19</v>
      </c>
      <c r="E486" s="74" t="n">
        <v>0.7</v>
      </c>
      <c r="F486" s="46" t="n">
        <v>80</v>
      </c>
      <c r="G486" s="33" t="inlineStr">
        <is>
          <t>4. Industria</t>
        </is>
      </c>
      <c r="H486" s="33" t="inlineStr">
        <is>
          <t>4.16 Fabricación de vehículos</t>
        </is>
      </c>
      <c r="R486" s="18">
        <f>G486&amp;"|"&amp;B486</f>
        <v/>
      </c>
    </row>
    <row r="487">
      <c r="B487" s="33" t="inlineStr">
        <is>
          <t>Servicios generales de vehículos, reparación y ensayos</t>
        </is>
      </c>
      <c r="C487" s="46" t="n">
        <v>300</v>
      </c>
      <c r="D487" s="46" t="n">
        <v>22</v>
      </c>
      <c r="E487" s="74" t="n">
        <v>0.6</v>
      </c>
      <c r="F487" s="46" t="n">
        <v>80</v>
      </c>
      <c r="G487" s="33" t="inlineStr">
        <is>
          <t>4. Industria</t>
        </is>
      </c>
      <c r="H487" s="33" t="inlineStr">
        <is>
          <t>4.16 Fabricación de vehículos</t>
        </is>
      </c>
      <c r="R487" s="18">
        <f>G487&amp;"|"&amp;B487</f>
        <v/>
      </c>
    </row>
    <row r="488">
      <c r="B488" s="33" t="inlineStr">
        <is>
          <t>Procesamiento automático (fabricación de madera contrachapada seca)</t>
        </is>
      </c>
      <c r="C488" s="46" t="n">
        <v>50</v>
      </c>
      <c r="D488" s="46" t="n">
        <v>28</v>
      </c>
      <c r="E488" s="74" t="n">
        <v>0.4</v>
      </c>
      <c r="F488" s="46" t="n">
        <v>40</v>
      </c>
      <c r="G488" s="33" t="inlineStr">
        <is>
          <t>4. Industria</t>
        </is>
      </c>
      <c r="H488" s="33" t="inlineStr">
        <is>
          <t>4.17 Industria maderera</t>
        </is>
      </c>
      <c r="R488" s="18">
        <f>G488&amp;"|"&amp;B488</f>
        <v/>
      </c>
    </row>
    <row r="489">
      <c r="B489" s="33" t="inlineStr">
        <is>
          <t>Fosos de vapor</t>
        </is>
      </c>
      <c r="C489" s="46" t="n">
        <v>150</v>
      </c>
      <c r="D489" s="46" t="n">
        <v>28</v>
      </c>
      <c r="E489" s="74" t="n">
        <v>0.4</v>
      </c>
      <c r="F489" s="46" t="n">
        <v>40</v>
      </c>
      <c r="G489" s="33" t="inlineStr">
        <is>
          <t>4. Industria</t>
        </is>
      </c>
      <c r="H489" s="33" t="inlineStr">
        <is>
          <t>4.17 Industria maderera</t>
        </is>
      </c>
      <c r="R489" s="18">
        <f>G489&amp;"|"&amp;B489</f>
        <v/>
      </c>
    </row>
    <row r="490">
      <c r="B490" s="33" t="inlineStr">
        <is>
          <t>Bastidor de sierra</t>
        </is>
      </c>
      <c r="C490" s="46" t="n">
        <v>300</v>
      </c>
      <c r="D490" s="46" t="n">
        <v>25</v>
      </c>
      <c r="E490" s="74" t="n">
        <v>0.6</v>
      </c>
      <c r="F490" s="46" t="n">
        <v>60</v>
      </c>
      <c r="G490" s="33" t="inlineStr">
        <is>
          <t>4. Industria</t>
        </is>
      </c>
      <c r="H490" s="33" t="inlineStr">
        <is>
          <t>4.17 Industria maderera</t>
        </is>
      </c>
      <c r="R490" s="18">
        <f>G490&amp;"|"&amp;B490</f>
        <v/>
      </c>
    </row>
    <row r="491">
      <c r="B491" s="33" t="inlineStr">
        <is>
          <t>Trabajo en banco de ebanista, encolado, montaje</t>
        </is>
      </c>
      <c r="C491" s="46" t="n">
        <v>300</v>
      </c>
      <c r="D491" s="46" t="n">
        <v>25</v>
      </c>
      <c r="E491" s="74" t="n">
        <v>0.7</v>
      </c>
      <c r="F491" s="46" t="n">
        <v>80</v>
      </c>
      <c r="G491" s="33" t="inlineStr">
        <is>
          <t>4. Industria</t>
        </is>
      </c>
      <c r="H491" s="33" t="inlineStr">
        <is>
          <t>4.17 Industria maderera</t>
        </is>
      </c>
      <c r="R491" s="18">
        <f>G491&amp;"|"&amp;B491</f>
        <v/>
      </c>
    </row>
    <row r="492">
      <c r="B492" s="33" t="inlineStr">
        <is>
          <t>Pulido, pintado, ebanistería de fantasía</t>
        </is>
      </c>
      <c r="C492" s="46" t="n">
        <v>750</v>
      </c>
      <c r="D492" s="46" t="n">
        <v>22</v>
      </c>
      <c r="E492" s="74" t="n">
        <v>0.6</v>
      </c>
      <c r="F492" s="46" t="n">
        <v>80</v>
      </c>
      <c r="G492" s="33" t="inlineStr">
        <is>
          <t>4. Industria</t>
        </is>
      </c>
      <c r="H492" s="33" t="inlineStr">
        <is>
          <t>4.17 Industria maderera</t>
        </is>
      </c>
      <c r="R492" s="18">
        <f>G492&amp;"|"&amp;B492</f>
        <v/>
      </c>
    </row>
    <row r="493">
      <c r="B493" s="33" t="inlineStr">
        <is>
          <t>Trabajo en máquinas de carpintería (torneado, ranurado, cepillado, corte, aserrado)</t>
        </is>
      </c>
      <c r="C493" s="46" t="n">
        <v>500</v>
      </c>
      <c r="D493" s="46" t="n">
        <v>19</v>
      </c>
      <c r="E493" s="74" t="n">
        <v>0.7</v>
      </c>
      <c r="F493" s="46" t="n">
        <v>80</v>
      </c>
      <c r="G493" s="33" t="inlineStr">
        <is>
          <t>4. Industria</t>
        </is>
      </c>
      <c r="H493" s="33" t="inlineStr">
        <is>
          <t>4.17 Industria maderera</t>
        </is>
      </c>
      <c r="R493" s="18">
        <f>G493&amp;"|"&amp;B493</f>
        <v/>
      </c>
    </row>
    <row r="494">
      <c r="B494" s="33" t="inlineStr">
        <is>
          <t>Selección de maderas en chapas, mosaicos de madera, trabajo de incrustación</t>
        </is>
      </c>
      <c r="C494" s="46" t="n">
        <v>750</v>
      </c>
      <c r="D494" s="46" t="n">
        <v>22</v>
      </c>
      <c r="E494" s="74" t="n">
        <v>0.7</v>
      </c>
      <c r="F494" s="46" t="n">
        <v>90</v>
      </c>
      <c r="G494" s="33" t="inlineStr">
        <is>
          <t>4. Industria</t>
        </is>
      </c>
      <c r="H494" s="33" t="inlineStr">
        <is>
          <t>4.17 Industria maderera</t>
        </is>
      </c>
      <c r="R494" s="18">
        <f>G494&amp;"|"&amp;B494</f>
        <v/>
      </c>
    </row>
    <row r="495">
      <c r="B495" s="33" t="inlineStr">
        <is>
          <t>Marquetería, incrustación en madera</t>
        </is>
      </c>
      <c r="C495" s="46" t="n">
        <v>750</v>
      </c>
      <c r="D495" s="46" t="n">
        <v>22</v>
      </c>
      <c r="E495" s="74" t="n">
        <v>0.7</v>
      </c>
      <c r="F495" s="46" t="n">
        <v>90</v>
      </c>
      <c r="G495" s="33" t="inlineStr">
        <is>
          <t>4. Industria</t>
        </is>
      </c>
      <c r="H495" s="33" t="inlineStr">
        <is>
          <t>4.17 Industria maderera</t>
        </is>
      </c>
      <c r="R495" s="18">
        <f>G495&amp;"|"&amp;B495</f>
        <v/>
      </c>
    </row>
    <row r="496">
      <c r="B496" s="33" t="inlineStr">
        <is>
          <t>Control de calidad, inspección</t>
        </is>
      </c>
      <c r="C496" s="46" t="n">
        <v>1000</v>
      </c>
      <c r="D496" s="46" t="n">
        <v>19</v>
      </c>
      <c r="E496" s="74" t="n">
        <v>0.7</v>
      </c>
      <c r="F496" s="46" t="n">
        <v>90</v>
      </c>
      <c r="G496" s="33" t="inlineStr">
        <is>
          <t>4. Industria</t>
        </is>
      </c>
      <c r="H496" s="33" t="inlineStr">
        <is>
          <t>4.17 Industria maderera</t>
        </is>
      </c>
      <c r="R496" s="18">
        <f>G496&amp;"|"&amp;B496</f>
        <v/>
      </c>
    </row>
    <row r="497">
      <c r="B497" s="33" t="inlineStr">
        <is>
          <t>Área de ventas</t>
        </is>
      </c>
      <c r="C497" s="46" t="n">
        <v>500</v>
      </c>
      <c r="D497" s="46" t="n">
        <v>22</v>
      </c>
      <c r="E497" s="74" t="n">
        <v>0.6</v>
      </c>
      <c r="F497" s="46" t="n">
        <v>80</v>
      </c>
      <c r="G497" s="33" t="inlineStr">
        <is>
          <t>5. Comercio</t>
        </is>
      </c>
      <c r="H497" s="33" t="inlineStr">
        <is>
          <t>5.1 Tiendas</t>
        </is>
      </c>
      <c r="R497" s="18">
        <f>G497&amp;"|"&amp;B497</f>
        <v/>
      </c>
    </row>
    <row r="498">
      <c r="B498" s="33" t="inlineStr">
        <is>
          <t>Área de (cajas) contadoras</t>
        </is>
      </c>
      <c r="C498" s="46" t="n">
        <v>500</v>
      </c>
      <c r="D498" s="46" t="n">
        <v>19</v>
      </c>
      <c r="E498" s="74" t="n">
        <v>0.6</v>
      </c>
      <c r="F498" s="46" t="n">
        <v>80</v>
      </c>
      <c r="G498" s="33" t="inlineStr">
        <is>
          <t>5. Comercio</t>
        </is>
      </c>
      <c r="H498" s="33" t="inlineStr">
        <is>
          <t>5.1 Tiendas</t>
        </is>
      </c>
      <c r="R498" s="18">
        <f>G498&amp;"|"&amp;B498</f>
        <v/>
      </c>
    </row>
    <row r="499">
      <c r="B499" s="33" t="inlineStr">
        <is>
          <t>Mostrador (mesa) de envolver</t>
        </is>
      </c>
      <c r="C499" s="46" t="n">
        <v>500</v>
      </c>
      <c r="D499" s="46" t="n">
        <v>19</v>
      </c>
      <c r="E499" s="74" t="n">
        <v>0.6</v>
      </c>
      <c r="F499" s="46" t="n">
        <v>80</v>
      </c>
      <c r="G499" s="33" t="inlineStr">
        <is>
          <t>5. Comercio</t>
        </is>
      </c>
      <c r="H499" s="33" t="inlineStr">
        <is>
          <t>5.1 Tiendas</t>
        </is>
      </c>
      <c r="R499" s="18">
        <f>G499&amp;"|"&amp;B499</f>
        <v/>
      </c>
    </row>
    <row r="500">
      <c r="B500" s="33" t="inlineStr">
        <is>
          <t>Vestíbulo de entrada</t>
        </is>
      </c>
      <c r="C500" s="46" t="n">
        <v>100</v>
      </c>
      <c r="D500" s="46" t="n">
        <v>22</v>
      </c>
      <c r="E500" s="74" t="n">
        <v>0.4</v>
      </c>
      <c r="F500" s="46" t="n">
        <v>80</v>
      </c>
      <c r="G500" s="33" t="inlineStr">
        <is>
          <t>5. Comercio</t>
        </is>
      </c>
      <c r="H500" s="33" t="inlineStr">
        <is>
          <t>5.2 Áreas comunes</t>
        </is>
      </c>
      <c r="R500" s="18">
        <f>G500&amp;"|"&amp;B500</f>
        <v/>
      </c>
    </row>
    <row r="501">
      <c r="B501" s="33" t="inlineStr">
        <is>
          <t>Guardarropas</t>
        </is>
      </c>
      <c r="C501" s="46" t="n">
        <v>200</v>
      </c>
      <c r="D501" s="46" t="n">
        <v>25</v>
      </c>
      <c r="E501" s="74" t="n">
        <v>0.4</v>
      </c>
      <c r="F501" s="46" t="n">
        <v>80</v>
      </c>
      <c r="G501" s="33" t="inlineStr">
        <is>
          <t>5. Comercio</t>
        </is>
      </c>
      <c r="H501" s="33" t="inlineStr">
        <is>
          <t>5.2 Áreas comunes</t>
        </is>
      </c>
      <c r="R501" s="18">
        <f>G501&amp;"|"&amp;B501</f>
        <v/>
      </c>
    </row>
    <row r="502">
      <c r="B502" s="33" t="inlineStr">
        <is>
          <t>Salones</t>
        </is>
      </c>
      <c r="C502" s="46" t="n">
        <v>200</v>
      </c>
      <c r="D502" s="46" t="n">
        <v>22</v>
      </c>
      <c r="E502" s="74" t="n">
        <v>0.4</v>
      </c>
      <c r="F502" s="46" t="n">
        <v>80</v>
      </c>
      <c r="G502" s="33" t="inlineStr">
        <is>
          <t>5. Comercio</t>
        </is>
      </c>
      <c r="H502" s="33" t="inlineStr">
        <is>
          <t>5.2 Áreas comunes</t>
        </is>
      </c>
      <c r="R502" s="18">
        <f>G502&amp;"|"&amp;B502</f>
        <v/>
      </c>
    </row>
    <row r="503">
      <c r="B503" s="33" t="inlineStr">
        <is>
          <t>Oficinas de taquillas</t>
        </is>
      </c>
      <c r="C503" s="46" t="n">
        <v>300</v>
      </c>
      <c r="D503" s="46" t="n">
        <v>22</v>
      </c>
      <c r="E503" s="74" t="n">
        <v>0.6</v>
      </c>
      <c r="F503" s="46" t="n">
        <v>80</v>
      </c>
      <c r="G503" s="33" t="inlineStr">
        <is>
          <t>5. Comercio</t>
        </is>
      </c>
      <c r="H503" s="33" t="inlineStr">
        <is>
          <t>5.2 Áreas comunes</t>
        </is>
      </c>
      <c r="R503" s="18">
        <f>G503&amp;"|"&amp;B503</f>
        <v/>
      </c>
    </row>
    <row r="504">
      <c r="B504" s="33" t="inlineStr">
        <is>
          <t>Carpeta de recepción/cajero, mesa de conserje</t>
        </is>
      </c>
      <c r="C504" s="46" t="n">
        <v>300</v>
      </c>
      <c r="D504" s="46" t="n">
        <v>22</v>
      </c>
      <c r="E504" s="74" t="n">
        <v>0.6</v>
      </c>
      <c r="F504" s="46" t="n">
        <v>80</v>
      </c>
      <c r="G504" s="33" t="inlineStr">
        <is>
          <t>5. Comercio</t>
        </is>
      </c>
      <c r="H504" s="33" t="inlineStr">
        <is>
          <t>5.3 Restaurantes y hoteles</t>
        </is>
      </c>
      <c r="R504" s="18">
        <f>G504&amp;"|"&amp;B504</f>
        <v/>
      </c>
    </row>
    <row r="505">
      <c r="B505" s="33" t="inlineStr">
        <is>
          <t>Cocina</t>
        </is>
      </c>
      <c r="C505" s="46" t="n">
        <v>500</v>
      </c>
      <c r="D505" s="46" t="n">
        <v>22</v>
      </c>
      <c r="E505" s="74" t="n">
        <v>0.6</v>
      </c>
      <c r="F505" s="46" t="n">
        <v>80</v>
      </c>
      <c r="G505" s="33" t="inlineStr">
        <is>
          <t>5. Comercio</t>
        </is>
      </c>
      <c r="H505" s="33" t="inlineStr">
        <is>
          <t>5.3 Restaurantes y hoteles</t>
        </is>
      </c>
      <c r="R505" s="18">
        <f>G505&amp;"|"&amp;B505</f>
        <v/>
      </c>
    </row>
    <row r="506">
      <c r="B506" s="33" t="inlineStr">
        <is>
          <t>Restaurante de autoservicio</t>
        </is>
      </c>
      <c r="C506" s="46" t="n">
        <v>200</v>
      </c>
      <c r="D506" s="46" t="n">
        <v>22</v>
      </c>
      <c r="E506" s="74" t="n">
        <v>0.4</v>
      </c>
      <c r="F506" s="46" t="n">
        <v>80</v>
      </c>
      <c r="G506" s="33" t="inlineStr">
        <is>
          <t>5. Comercio</t>
        </is>
      </c>
      <c r="H506" s="33" t="inlineStr">
        <is>
          <t>5.3 Restaurantes y hoteles</t>
        </is>
      </c>
      <c r="R506" s="18">
        <f>G506&amp;"|"&amp;B506</f>
        <v/>
      </c>
    </row>
    <row r="507">
      <c r="B507" s="33" t="inlineStr">
        <is>
          <t>Buffet (comidas frías)</t>
        </is>
      </c>
      <c r="C507" s="46" t="n">
        <v>300</v>
      </c>
      <c r="D507" s="46" t="n">
        <v>22</v>
      </c>
      <c r="E507" s="74" t="n">
        <v>0.6</v>
      </c>
      <c r="F507" s="46" t="n">
        <v>80</v>
      </c>
      <c r="G507" s="33" t="inlineStr">
        <is>
          <t>5. Comercio</t>
        </is>
      </c>
      <c r="H507" s="33" t="inlineStr">
        <is>
          <t>5.3 Restaurantes y hoteles</t>
        </is>
      </c>
      <c r="R507" s="18">
        <f>G507&amp;"|"&amp;B507</f>
        <v/>
      </c>
    </row>
    <row r="508">
      <c r="B508" s="33" t="inlineStr">
        <is>
          <t>Salas de conferencias</t>
        </is>
      </c>
      <c r="C508" s="46" t="n">
        <v>500</v>
      </c>
      <c r="D508" s="46" t="n">
        <v>19</v>
      </c>
      <c r="E508" s="74" t="n">
        <v>0.6</v>
      </c>
      <c r="F508" s="46" t="n">
        <v>80</v>
      </c>
      <c r="G508" s="33" t="inlineStr">
        <is>
          <t>5. Comercio</t>
        </is>
      </c>
      <c r="H508" s="33" t="inlineStr">
        <is>
          <t>5.3 Restaurantes y hoteles</t>
        </is>
      </c>
      <c r="R508" s="18">
        <f>G508&amp;"|"&amp;B508</f>
        <v/>
      </c>
    </row>
    <row r="509">
      <c r="B509" s="33" t="inlineStr">
        <is>
          <t>Corredores (pasillos)</t>
        </is>
      </c>
      <c r="C509" s="46" t="n">
        <v>100</v>
      </c>
      <c r="D509" s="46" t="n">
        <v>25</v>
      </c>
      <c r="E509" s="74" t="n">
        <v>0.4</v>
      </c>
      <c r="F509" s="46" t="n">
        <v>80</v>
      </c>
      <c r="G509" s="33" t="inlineStr">
        <is>
          <t>5. Comercio</t>
        </is>
      </c>
      <c r="H509" s="33" t="inlineStr">
        <is>
          <t>5.3 Restaurantes y hoteles</t>
        </is>
      </c>
      <c r="R509" s="18">
        <f>G509&amp;"|"&amp;B509</f>
        <v/>
      </c>
    </row>
    <row r="510">
      <c r="B510" s="33" t="inlineStr">
        <is>
          <t>Cantinas, tabernas</t>
        </is>
      </c>
      <c r="C510" s="46" t="n">
        <v>200</v>
      </c>
      <c r="D510" s="46" t="n">
        <v>22</v>
      </c>
      <c r="E510" s="74" t="n">
        <v>0.4</v>
      </c>
      <c r="F510" s="46" t="n">
        <v>80</v>
      </c>
      <c r="G510" s="33" t="inlineStr">
        <is>
          <t>5. Comercio</t>
        </is>
      </c>
      <c r="H510" s="33" t="inlineStr">
        <is>
          <t>5.3 Restaurantes y hoteles</t>
        </is>
      </c>
      <c r="R510" s="18">
        <f>G510&amp;"|"&amp;B510</f>
        <v/>
      </c>
    </row>
    <row r="511">
      <c r="B511" s="33" t="inlineStr">
        <is>
          <t>Teatros y salas de concierto</t>
        </is>
      </c>
      <c r="C511" s="46" t="n">
        <v>300</v>
      </c>
      <c r="D511" s="46" t="n">
        <v>22</v>
      </c>
      <c r="E511" s="74" t="n">
        <v>0.6</v>
      </c>
      <c r="F511" s="46" t="n">
        <v>80</v>
      </c>
      <c r="G511" s="33" t="inlineStr">
        <is>
          <t>5. Comercio</t>
        </is>
      </c>
      <c r="H511" s="33" t="inlineStr">
        <is>
          <t>5.4 Teatros, salas de conciertos, cines</t>
        </is>
      </c>
      <c r="R511" s="18">
        <f>G511&amp;"|"&amp;B511</f>
        <v/>
      </c>
    </row>
    <row r="512">
      <c r="B512" s="33" t="inlineStr">
        <is>
          <t>Salas multipropósito</t>
        </is>
      </c>
      <c r="C512" s="46" t="n">
        <v>200</v>
      </c>
      <c r="D512" s="46" t="n">
        <v>22</v>
      </c>
      <c r="E512" s="74" t="n">
        <v>0.6</v>
      </c>
      <c r="F512" s="46" t="n">
        <v>80</v>
      </c>
      <c r="G512" s="33" t="inlineStr">
        <is>
          <t>5. Comercio</t>
        </is>
      </c>
      <c r="H512" s="33" t="inlineStr">
        <is>
          <t>5.4 Teatros, salas de conciertos, cines</t>
        </is>
      </c>
      <c r="R512" s="18">
        <f>G512&amp;"|"&amp;B512</f>
        <v/>
      </c>
    </row>
    <row r="513">
      <c r="B513" s="33" t="inlineStr">
        <is>
          <t>Locales de ejercicios, vestidores</t>
        </is>
      </c>
      <c r="C513" s="46" t="n">
        <v>200</v>
      </c>
      <c r="D513" s="46" t="n">
        <v>22</v>
      </c>
      <c r="E513" s="74" t="n">
        <v>0.5</v>
      </c>
      <c r="F513" s="46" t="n">
        <v>80</v>
      </c>
      <c r="G513" s="33" t="inlineStr">
        <is>
          <t>5. Comercio</t>
        </is>
      </c>
      <c r="H513" s="33" t="inlineStr">
        <is>
          <t>5.4 Teatros, salas de conciertos, cines</t>
        </is>
      </c>
      <c r="R513" s="18">
        <f>G513&amp;"|"&amp;B513</f>
        <v/>
      </c>
    </row>
    <row r="514">
      <c r="B514" s="33" t="inlineStr">
        <is>
          <t>Museos (general)</t>
        </is>
      </c>
      <c r="C514" s="46" t="n">
        <v>300</v>
      </c>
      <c r="D514" s="46" t="n">
        <v>25</v>
      </c>
      <c r="E514" s="74" t="n">
        <v>0.4</v>
      </c>
      <c r="F514" s="46" t="n">
        <v>80</v>
      </c>
      <c r="G514" s="33" t="inlineStr">
        <is>
          <t>5. Comercio</t>
        </is>
      </c>
      <c r="H514" s="33" t="inlineStr">
        <is>
          <t>5.4 Teatros, salas de conciertos, cines</t>
        </is>
      </c>
      <c r="R514" s="18">
        <f>G514&amp;"|"&amp;B514</f>
        <v/>
      </c>
    </row>
    <row r="515">
      <c r="B515" s="33" t="inlineStr">
        <is>
          <t>Alumbrado general</t>
        </is>
      </c>
      <c r="C515" s="46" t="n">
        <v>300</v>
      </c>
      <c r="D515" s="46" t="n">
        <v>22</v>
      </c>
      <c r="E515" s="74" t="n">
        <v>0.4</v>
      </c>
      <c r="F515" s="46" t="n">
        <v>80</v>
      </c>
      <c r="G515" s="33" t="inlineStr">
        <is>
          <t>5. Comercio</t>
        </is>
      </c>
      <c r="H515" s="33" t="inlineStr">
        <is>
          <t>5.5 Ferias, pabellones de exposiciones</t>
        </is>
      </c>
      <c r="R515" s="18">
        <f>G515&amp;"|"&amp;B515</f>
        <v/>
      </c>
    </row>
    <row r="516">
      <c r="B516" s="33" t="inlineStr">
        <is>
          <t>Trabajo de peluquería</t>
        </is>
      </c>
      <c r="C516" s="46" t="n">
        <v>500</v>
      </c>
      <c r="D516" s="46" t="n">
        <v>19</v>
      </c>
      <c r="E516" s="74" t="n">
        <v>0.6</v>
      </c>
      <c r="F516" s="46" t="n">
        <v>90</v>
      </c>
      <c r="G516" s="33" t="inlineStr">
        <is>
          <t>5. Comercio</t>
        </is>
      </c>
      <c r="H516" s="33" t="inlineStr">
        <is>
          <t>5.6 Peluquerías</t>
        </is>
      </c>
      <c r="R516" s="18">
        <f>G516&amp;"|"&amp;B516</f>
        <v/>
      </c>
    </row>
    <row r="517">
      <c r="B517" s="33" t="inlineStr">
        <is>
          <t>Trabajo con piedras preciosas</t>
        </is>
      </c>
      <c r="C517" s="46" t="n">
        <v>1500</v>
      </c>
      <c r="D517" s="46" t="n">
        <v>16</v>
      </c>
      <c r="E517" s="74" t="n">
        <v>0.7</v>
      </c>
      <c r="F517" s="46" t="n">
        <v>90</v>
      </c>
      <c r="G517" s="33" t="inlineStr">
        <is>
          <t>5. Comercio</t>
        </is>
      </c>
      <c r="H517" s="33" t="inlineStr">
        <is>
          <t>5.7 Fabricación de joyas y relojes</t>
        </is>
      </c>
      <c r="R517" s="18">
        <f>G517&amp;"|"&amp;B517</f>
        <v/>
      </c>
    </row>
    <row r="518">
      <c r="B518" s="33" t="inlineStr">
        <is>
          <t>Manufactura de joyas</t>
        </is>
      </c>
      <c r="C518" s="46" t="n">
        <v>1000</v>
      </c>
      <c r="D518" s="46" t="n">
        <v>16</v>
      </c>
      <c r="E518" s="74" t="n">
        <v>0.7</v>
      </c>
      <c r="F518" s="46" t="n">
        <v>90</v>
      </c>
      <c r="G518" s="33" t="inlineStr">
        <is>
          <t>5. Comercio</t>
        </is>
      </c>
      <c r="H518" s="33" t="inlineStr">
        <is>
          <t>5.7 Fabricación de joyas y relojes</t>
        </is>
      </c>
      <c r="R518" s="18">
        <f>G518&amp;"|"&amp;B518</f>
        <v/>
      </c>
    </row>
    <row r="519">
      <c r="B519" s="33" t="inlineStr">
        <is>
          <t>Fabricación (manual) de relojes</t>
        </is>
      </c>
      <c r="C519" s="46" t="n">
        <v>1500</v>
      </c>
      <c r="D519" s="46" t="n">
        <v>16</v>
      </c>
      <c r="E519" s="74" t="n">
        <v>0.7</v>
      </c>
      <c r="F519" s="46" t="n">
        <v>80</v>
      </c>
      <c r="G519" s="33" t="inlineStr">
        <is>
          <t>5. Comercio</t>
        </is>
      </c>
      <c r="H519" s="33" t="inlineStr">
        <is>
          <t>5.7 Fabricación de joyas y relojes</t>
        </is>
      </c>
      <c r="R519" s="18">
        <f>G519&amp;"|"&amp;B519</f>
        <v/>
      </c>
    </row>
    <row r="520">
      <c r="B520" s="33" t="inlineStr">
        <is>
          <t>Fabricación (automática) de relojes</t>
        </is>
      </c>
      <c r="C520" s="46" t="n">
        <v>500</v>
      </c>
      <c r="D520" s="46" t="n">
        <v>19</v>
      </c>
      <c r="E520" s="74" t="n">
        <v>0.6</v>
      </c>
      <c r="F520" s="46" t="n">
        <v>80</v>
      </c>
      <c r="G520" s="33" t="inlineStr">
        <is>
          <t>5. Comercio</t>
        </is>
      </c>
      <c r="H520" s="33" t="inlineStr">
        <is>
          <t>5.7 Fabricación de joyas y relojes</t>
        </is>
      </c>
      <c r="R520" s="18">
        <f>G520&amp;"|"&amp;B520</f>
        <v/>
      </c>
    </row>
    <row r="521">
      <c r="B521" s="33" t="inlineStr">
        <is>
          <t>Entrada de la ropa, marcado y clasificación</t>
        </is>
      </c>
      <c r="C521" s="46" t="n">
        <v>300</v>
      </c>
      <c r="D521" s="46" t="n">
        <v>25</v>
      </c>
      <c r="E521" s="74" t="n">
        <v>0.6</v>
      </c>
      <c r="F521" s="46" t="n">
        <v>80</v>
      </c>
      <c r="G521" s="33" t="inlineStr">
        <is>
          <t>5. Comercio</t>
        </is>
      </c>
      <c r="H521" s="33" t="inlineStr">
        <is>
          <t>5.8 Lavanderías y limpieza en seco</t>
        </is>
      </c>
      <c r="R521" s="18">
        <f>G521&amp;"|"&amp;B521</f>
        <v/>
      </c>
    </row>
    <row r="522">
      <c r="B522" s="33" t="inlineStr">
        <is>
          <t>Lavado (normal) y en seco</t>
        </is>
      </c>
      <c r="C522" s="46" t="n">
        <v>300</v>
      </c>
      <c r="D522" s="46" t="n">
        <v>25</v>
      </c>
      <c r="E522" s="74" t="n">
        <v>0.6</v>
      </c>
      <c r="F522" s="46" t="n">
        <v>80</v>
      </c>
      <c r="G522" s="33" t="inlineStr">
        <is>
          <t>5. Comercio</t>
        </is>
      </c>
      <c r="H522" s="33" t="inlineStr">
        <is>
          <t>5.8 Lavanderías y limpieza en seco</t>
        </is>
      </c>
      <c r="R522" s="18">
        <f>G522&amp;"|"&amp;B522</f>
        <v/>
      </c>
    </row>
    <row r="523">
      <c r="B523" s="33" t="inlineStr">
        <is>
          <t>Planchado, calandria (prensado)</t>
        </is>
      </c>
      <c r="C523" s="46" t="n">
        <v>300</v>
      </c>
      <c r="D523" s="46" t="n">
        <v>25</v>
      </c>
      <c r="E523" s="74" t="n">
        <v>0.6</v>
      </c>
      <c r="F523" s="46" t="n">
        <v>80</v>
      </c>
      <c r="G523" s="33" t="inlineStr">
        <is>
          <t>5. Comercio</t>
        </is>
      </c>
      <c r="H523" s="33" t="inlineStr">
        <is>
          <t>5.8 Lavanderías y limpieza en seco</t>
        </is>
      </c>
      <c r="R523" s="18">
        <f>G523&amp;"|"&amp;B523</f>
        <v/>
      </c>
    </row>
    <row r="524">
      <c r="B524" s="33" t="inlineStr">
        <is>
          <t>Inspección y arreglos</t>
        </is>
      </c>
      <c r="C524" s="46" t="n">
        <v>750</v>
      </c>
      <c r="D524" s="46" t="n">
        <v>19</v>
      </c>
      <c r="E524" s="74" t="n">
        <v>0.7</v>
      </c>
      <c r="F524" s="46" t="n">
        <v>80</v>
      </c>
      <c r="G524" s="33" t="inlineStr">
        <is>
          <t>5. Comercio</t>
        </is>
      </c>
      <c r="H524" s="33" t="inlineStr">
        <is>
          <t>5.8 Lavanderías y limpieza en seco</t>
        </is>
      </c>
      <c r="R524" s="18">
        <f>G524&amp;"|"&amp;B524</f>
        <v/>
      </c>
    </row>
    <row r="525">
      <c r="B525" s="33" t="inlineStr">
        <is>
          <t>Archivo, copia, circulación, etc.</t>
        </is>
      </c>
      <c r="C525" s="46" t="n">
        <v>300</v>
      </c>
      <c r="D525" s="46" t="n">
        <v>19</v>
      </c>
      <c r="E525" s="74" t="n">
        <v>0.4</v>
      </c>
      <c r="F525" s="46" t="n">
        <v>80</v>
      </c>
      <c r="G525" s="33" t="inlineStr">
        <is>
          <t>6. Oficinas</t>
        </is>
      </c>
      <c r="H525" s="33" t="inlineStr"/>
      <c r="R525" s="18">
        <f>G525&amp;"|"&amp;B525</f>
        <v/>
      </c>
    </row>
    <row r="526">
      <c r="B526" s="33" t="inlineStr">
        <is>
          <t>Escritura, mecanografía, lectura, procesamiento de datos</t>
        </is>
      </c>
      <c r="C526" s="46" t="n">
        <v>500</v>
      </c>
      <c r="D526" s="46" t="n">
        <v>19</v>
      </c>
      <c r="E526" s="74" t="n">
        <v>0.6</v>
      </c>
      <c r="F526" s="46" t="n">
        <v>80</v>
      </c>
      <c r="G526" s="33" t="inlineStr">
        <is>
          <t>6. Oficinas</t>
        </is>
      </c>
      <c r="H526" s="33" t="inlineStr"/>
      <c r="R526" s="18">
        <f>G526&amp;"|"&amp;B526</f>
        <v/>
      </c>
    </row>
    <row r="527">
      <c r="B527" s="33" t="inlineStr">
        <is>
          <t>Estación de trabajo CAD</t>
        </is>
      </c>
      <c r="C527" s="46" t="n">
        <v>500</v>
      </c>
      <c r="D527" s="46" t="n">
        <v>19</v>
      </c>
      <c r="E527" s="74" t="n">
        <v>0.6</v>
      </c>
      <c r="F527" s="46" t="n">
        <v>80</v>
      </c>
      <c r="G527" s="33" t="inlineStr">
        <is>
          <t>6. Oficinas</t>
        </is>
      </c>
      <c r="H527" s="33" t="inlineStr"/>
      <c r="R527" s="18">
        <f>G527&amp;"|"&amp;B527</f>
        <v/>
      </c>
    </row>
    <row r="528">
      <c r="B528" s="33" t="inlineStr">
        <is>
          <t>Salas de conferencias y reuniones</t>
        </is>
      </c>
      <c r="C528" s="46" t="n">
        <v>500</v>
      </c>
      <c r="D528" s="46" t="n">
        <v>19</v>
      </c>
      <c r="E528" s="74" t="n">
        <v>0.6</v>
      </c>
      <c r="F528" s="46" t="n">
        <v>80</v>
      </c>
      <c r="G528" s="33" t="inlineStr">
        <is>
          <t>6. Oficinas</t>
        </is>
      </c>
      <c r="H528" s="33" t="inlineStr"/>
      <c r="R528" s="18">
        <f>G528&amp;"|"&amp;B528</f>
        <v/>
      </c>
    </row>
    <row r="529">
      <c r="B529" s="33" t="inlineStr">
        <is>
          <t>Archivos</t>
        </is>
      </c>
      <c r="C529" s="46" t="n">
        <v>200</v>
      </c>
      <c r="D529" s="46" t="n">
        <v>25</v>
      </c>
      <c r="E529" s="74" t="n">
        <v>0.4</v>
      </c>
      <c r="F529" s="46" t="n">
        <v>80</v>
      </c>
      <c r="G529" s="33" t="inlineStr">
        <is>
          <t>6. Oficinas</t>
        </is>
      </c>
      <c r="H529" s="33" t="inlineStr"/>
      <c r="R529" s="18">
        <f>G529&amp;"|"&amp;B529</f>
        <v/>
      </c>
    </row>
    <row r="530">
      <c r="B530" s="33" t="inlineStr">
        <is>
          <t>Estanterías (de libros)</t>
        </is>
      </c>
      <c r="C530" s="46" t="n">
        <v>200</v>
      </c>
      <c r="D530" s="46" t="n">
        <v>19</v>
      </c>
      <c r="E530" s="74" t="n">
        <v>0.4</v>
      </c>
      <c r="F530" s="46" t="n">
        <v>80</v>
      </c>
      <c r="G530" s="33" t="inlineStr">
        <is>
          <t>7. Servicios comunales</t>
        </is>
      </c>
      <c r="H530" s="33" t="inlineStr">
        <is>
          <t>7.2 Bibliotecas</t>
        </is>
      </c>
      <c r="R530" s="18">
        <f>G530&amp;"|"&amp;B530</f>
        <v/>
      </c>
    </row>
    <row r="531">
      <c r="B531" s="33" t="inlineStr">
        <is>
          <t>Áreas de lectura</t>
        </is>
      </c>
      <c r="C531" s="46" t="n">
        <v>500</v>
      </c>
      <c r="D531" s="46" t="n">
        <v>19</v>
      </c>
      <c r="E531" s="74" t="n">
        <v>0.6</v>
      </c>
      <c r="F531" s="46" t="n">
        <v>80</v>
      </c>
      <c r="G531" s="33" t="inlineStr">
        <is>
          <t>7. Servicios comunales</t>
        </is>
      </c>
      <c r="H531" s="33" t="inlineStr">
        <is>
          <t>7.2 Bibliotecas</t>
        </is>
      </c>
      <c r="R531" s="18">
        <f>G531&amp;"|"&amp;B531</f>
        <v/>
      </c>
    </row>
    <row r="532">
      <c r="B532" s="33" t="inlineStr">
        <is>
          <t>Mostradores</t>
        </is>
      </c>
      <c r="C532" s="46" t="n">
        <v>500</v>
      </c>
      <c r="D532" s="46" t="n">
        <v>19</v>
      </c>
      <c r="E532" s="74" t="n">
        <v>0.6</v>
      </c>
      <c r="F532" s="46" t="n">
        <v>80</v>
      </c>
      <c r="G532" s="33" t="inlineStr">
        <is>
          <t>7. Servicios comunales</t>
        </is>
      </c>
      <c r="H532" s="33" t="inlineStr">
        <is>
          <t>7.2 Bibliotecas</t>
        </is>
      </c>
      <c r="R532" s="18">
        <f>G532&amp;"|"&amp;B532</f>
        <v/>
      </c>
    </row>
    <row r="533">
      <c r="B533" s="33" t="inlineStr">
        <is>
          <t>Nave de iglesia</t>
        </is>
      </c>
      <c r="C533" s="46" t="n">
        <v>100</v>
      </c>
      <c r="D533" s="46" t="n">
        <v>25</v>
      </c>
      <c r="E533" s="46" t="inlineStr">
        <is>
          <t>—</t>
        </is>
      </c>
      <c r="F533" s="46" t="n">
        <v>80</v>
      </c>
      <c r="G533" s="33" t="inlineStr">
        <is>
          <t>7. Servicios comunales</t>
        </is>
      </c>
      <c r="H533" s="33" t="inlineStr">
        <is>
          <t>7.3 Templos</t>
        </is>
      </c>
      <c r="R533" s="18">
        <f>G533&amp;"|"&amp;B533</f>
        <v/>
      </c>
    </row>
    <row r="534">
      <c r="B534" s="33" t="inlineStr">
        <is>
          <t>Asientos, altar, púlpito</t>
        </is>
      </c>
      <c r="C534" s="46" t="n">
        <v>300</v>
      </c>
      <c r="D534" s="46" t="n">
        <v>22</v>
      </c>
      <c r="E534" s="46" t="inlineStr">
        <is>
          <t>—</t>
        </is>
      </c>
      <c r="F534" s="46" t="n">
        <v>80</v>
      </c>
      <c r="G534" s="33" t="inlineStr">
        <is>
          <t>7. Servicios comunales</t>
        </is>
      </c>
      <c r="H534" s="33" t="inlineStr">
        <is>
          <t>7.3 Templos</t>
        </is>
      </c>
      <c r="R534" s="18">
        <f>G534&amp;"|"&amp;B534</f>
        <v/>
      </c>
    </row>
    <row r="535">
      <c r="B535" s="33" t="inlineStr">
        <is>
          <t>Salas para ejercicios físicos</t>
        </is>
      </c>
      <c r="C535" s="46" t="n">
        <v>300</v>
      </c>
      <c r="D535" s="46" t="n">
        <v>22</v>
      </c>
      <c r="E535" s="74" t="n">
        <v>0.4</v>
      </c>
      <c r="F535" s="46" t="n">
        <v>80</v>
      </c>
      <c r="G535" s="33" t="inlineStr">
        <is>
          <t>8. Recreación y deportes</t>
        </is>
      </c>
      <c r="H535" s="33" t="inlineStr"/>
      <c r="R535" s="18">
        <f>G535&amp;"|"&amp;B535</f>
        <v/>
      </c>
    </row>
    <row r="536">
      <c r="B536" s="33" t="inlineStr">
        <is>
          <t>Vestuarios, salas de lavado, cuartos de baño, servicios</t>
        </is>
      </c>
      <c r="C536" s="46" t="n">
        <v>200</v>
      </c>
      <c r="D536" s="46" t="n">
        <v>25</v>
      </c>
      <c r="E536" s="74" t="n">
        <v>0.4</v>
      </c>
      <c r="F536" s="46" t="n">
        <v>80</v>
      </c>
      <c r="G536" s="33" t="inlineStr">
        <is>
          <t>8. Recreación y deportes</t>
        </is>
      </c>
      <c r="H536" s="33" t="inlineStr"/>
      <c r="R536" s="18">
        <f>G536&amp;"|"&amp;B536</f>
        <v/>
      </c>
    </row>
    <row r="537">
      <c r="B537" s="33" t="inlineStr">
        <is>
          <t>Salones de llegadas y partidas, áreas de recogida de equipaje</t>
        </is>
      </c>
      <c r="C537" s="46" t="n">
        <v>200</v>
      </c>
      <c r="D537" s="46" t="n">
        <v>22</v>
      </c>
      <c r="E537" s="74" t="n">
        <v>0.4</v>
      </c>
      <c r="F537" s="46" t="n">
        <v>80</v>
      </c>
      <c r="G537" s="33" t="inlineStr">
        <is>
          <t>9. Transporte y comunicaciones</t>
        </is>
      </c>
      <c r="H537" s="33" t="inlineStr">
        <is>
          <t>9.1 Aeropuertos</t>
        </is>
      </c>
      <c r="R537" s="18">
        <f>G537&amp;"|"&amp;B537</f>
        <v/>
      </c>
    </row>
    <row r="538">
      <c r="B538" s="33" t="inlineStr">
        <is>
          <t>Áreas de conexión, escaladores (mecánicos), cintas transportadoras</t>
        </is>
      </c>
      <c r="C538" s="46" t="n">
        <v>150</v>
      </c>
      <c r="D538" s="46" t="n">
        <v>22</v>
      </c>
      <c r="E538" s="74" t="n">
        <v>0.4</v>
      </c>
      <c r="F538" s="46" t="n">
        <v>80</v>
      </c>
      <c r="G538" s="33" t="inlineStr">
        <is>
          <t>9. Transporte y comunicaciones</t>
        </is>
      </c>
      <c r="H538" s="33" t="inlineStr">
        <is>
          <t>9.1 Aeropuertos</t>
        </is>
      </c>
      <c r="R538" s="18">
        <f>G538&amp;"|"&amp;B538</f>
        <v/>
      </c>
    </row>
    <row r="539">
      <c r="B539" s="33" t="inlineStr">
        <is>
          <t>Mostradores de información, carpeta de chequear</t>
        </is>
      </c>
      <c r="C539" s="46" t="n">
        <v>500</v>
      </c>
      <c r="D539" s="46" t="n">
        <v>19</v>
      </c>
      <c r="E539" s="74" t="n">
        <v>0.7</v>
      </c>
      <c r="F539" s="46" t="n">
        <v>80</v>
      </c>
      <c r="G539" s="33" t="inlineStr">
        <is>
          <t>9. Transporte y comunicaciones</t>
        </is>
      </c>
      <c r="H539" s="33" t="inlineStr">
        <is>
          <t>9.1 Aeropuertos</t>
        </is>
      </c>
      <c r="R539" s="18">
        <f>G539&amp;"|"&amp;B539</f>
        <v/>
      </c>
    </row>
    <row r="540">
      <c r="B540" s="33" t="inlineStr">
        <is>
          <t>Aduana y control de pasaportes</t>
        </is>
      </c>
      <c r="C540" s="46" t="n">
        <v>500</v>
      </c>
      <c r="D540" s="46" t="n">
        <v>19</v>
      </c>
      <c r="E540" s="74" t="n">
        <v>0.7</v>
      </c>
      <c r="F540" s="46" t="n">
        <v>80</v>
      </c>
      <c r="G540" s="33" t="inlineStr">
        <is>
          <t>9. Transporte y comunicaciones</t>
        </is>
      </c>
      <c r="H540" s="33" t="inlineStr">
        <is>
          <t>9.1 Aeropuertos</t>
        </is>
      </c>
      <c r="R540" s="18">
        <f>G540&amp;"|"&amp;B540</f>
        <v/>
      </c>
    </row>
    <row r="541">
      <c r="B541" s="33" t="inlineStr">
        <is>
          <t>Áreas de espera</t>
        </is>
      </c>
      <c r="C541" s="46" t="n">
        <v>200</v>
      </c>
      <c r="D541" s="46" t="n">
        <v>22</v>
      </c>
      <c r="E541" s="74" t="n">
        <v>0.4</v>
      </c>
      <c r="F541" s="46" t="n">
        <v>80</v>
      </c>
      <c r="G541" s="33" t="inlineStr">
        <is>
          <t>9. Transporte y comunicaciones</t>
        </is>
      </c>
      <c r="H541" s="33" t="inlineStr">
        <is>
          <t>9.1 Aeropuertos</t>
        </is>
      </c>
      <c r="R541" s="18">
        <f>G541&amp;"|"&amp;B541</f>
        <v/>
      </c>
    </row>
    <row r="542">
      <c r="B542" s="33" t="inlineStr">
        <is>
          <t>Depósitos de equipajes</t>
        </is>
      </c>
      <c r="C542" s="46" t="n">
        <v>200</v>
      </c>
      <c r="D542" s="46" t="n">
        <v>25</v>
      </c>
      <c r="E542" s="74" t="n">
        <v>0.4</v>
      </c>
      <c r="F542" s="46" t="n">
        <v>60</v>
      </c>
      <c r="G542" s="33" t="inlineStr">
        <is>
          <t>9. Transporte y comunicaciones</t>
        </is>
      </c>
      <c r="H542" s="33" t="inlineStr">
        <is>
          <t>9.1 Aeropuertos</t>
        </is>
      </c>
      <c r="R542" s="18">
        <f>G542&amp;"|"&amp;B542</f>
        <v/>
      </c>
    </row>
    <row r="543">
      <c r="B543" s="33" t="inlineStr">
        <is>
          <t>Áreas de chequeo de seguridad</t>
        </is>
      </c>
      <c r="C543" s="46" t="n">
        <v>300</v>
      </c>
      <c r="D543" s="46" t="n">
        <v>19</v>
      </c>
      <c r="E543" s="74" t="n">
        <v>0.6</v>
      </c>
      <c r="F543" s="46" t="n">
        <v>80</v>
      </c>
      <c r="G543" s="33" t="inlineStr">
        <is>
          <t>9. Transporte y comunicaciones</t>
        </is>
      </c>
      <c r="H543" s="33" t="inlineStr">
        <is>
          <t>9.1 Aeropuertos</t>
        </is>
      </c>
      <c r="R543" s="18">
        <f>G543&amp;"|"&amp;B543</f>
        <v/>
      </c>
    </row>
    <row r="544">
      <c r="B544" s="33" t="inlineStr">
        <is>
          <t>Torre de control de tráfico</t>
        </is>
      </c>
      <c r="C544" s="46" t="n">
        <v>500</v>
      </c>
      <c r="D544" s="46" t="n">
        <v>16</v>
      </c>
      <c r="E544" s="74" t="n">
        <v>0.6</v>
      </c>
      <c r="F544" s="46" t="n">
        <v>80</v>
      </c>
      <c r="G544" s="33" t="inlineStr">
        <is>
          <t>9. Transporte y comunicaciones</t>
        </is>
      </c>
      <c r="H544" s="33" t="inlineStr">
        <is>
          <t>9.1 Aeropuertos</t>
        </is>
      </c>
      <c r="R544" s="18">
        <f>G544&amp;"|"&amp;B544</f>
        <v/>
      </c>
    </row>
    <row r="545">
      <c r="B545" s="33" t="inlineStr">
        <is>
          <t>Hangares de pruebas y reparaciones</t>
        </is>
      </c>
      <c r="C545" s="46" t="n">
        <v>500</v>
      </c>
      <c r="D545" s="46" t="n">
        <v>22</v>
      </c>
      <c r="E545" s="74" t="n">
        <v>0.6</v>
      </c>
      <c r="F545" s="46" t="n">
        <v>80</v>
      </c>
      <c r="G545" s="33" t="inlineStr">
        <is>
          <t>9. Transporte y comunicaciones</t>
        </is>
      </c>
      <c r="H545" s="33" t="inlineStr">
        <is>
          <t>9.1 Aeropuertos</t>
        </is>
      </c>
      <c r="R545" s="18">
        <f>G545&amp;"|"&amp;B545</f>
        <v/>
      </c>
    </row>
    <row r="546">
      <c r="B546" s="33" t="inlineStr">
        <is>
          <t>Área de prueba de máquinas</t>
        </is>
      </c>
      <c r="C546" s="46" t="n">
        <v>500</v>
      </c>
      <c r="D546" s="46" t="n">
        <v>22</v>
      </c>
      <c r="E546" s="74" t="n">
        <v>0.6</v>
      </c>
      <c r="F546" s="46" t="n">
        <v>80</v>
      </c>
      <c r="G546" s="33" t="inlineStr">
        <is>
          <t>9. Transporte y comunicaciones</t>
        </is>
      </c>
      <c r="H546" s="33" t="inlineStr">
        <is>
          <t>9.1 Aeropuertos</t>
        </is>
      </c>
      <c r="R546" s="18">
        <f>G546&amp;"|"&amp;B546</f>
        <v/>
      </c>
    </row>
    <row r="547">
      <c r="B547" s="33" t="inlineStr">
        <is>
          <t>Áreas de medición en hangares</t>
        </is>
      </c>
      <c r="C547" s="46" t="n">
        <v>500</v>
      </c>
      <c r="D547" s="46" t="n">
        <v>22</v>
      </c>
      <c r="E547" s="74" t="n">
        <v>0.4</v>
      </c>
      <c r="F547" s="46" t="n">
        <v>80</v>
      </c>
      <c r="G547" s="33" t="inlineStr">
        <is>
          <t>9. Transporte y comunicaciones</t>
        </is>
      </c>
      <c r="H547" s="33" t="inlineStr">
        <is>
          <t>9.1 Aeropuertos</t>
        </is>
      </c>
      <c r="R547" s="18">
        <f>G547&amp;"|"&amp;B547</f>
        <v/>
      </c>
    </row>
    <row r="548">
      <c r="B548" s="33" t="inlineStr">
        <is>
          <t>Andenes completamente cubiertos</t>
        </is>
      </c>
      <c r="C548" s="46" t="n">
        <v>100</v>
      </c>
      <c r="D548" s="46" t="inlineStr">
        <is>
          <t>—</t>
        </is>
      </c>
      <c r="E548" s="46" t="inlineStr">
        <is>
          <t>—</t>
        </is>
      </c>
      <c r="F548" s="46" t="n">
        <v>40</v>
      </c>
      <c r="G548" s="33" t="inlineStr">
        <is>
          <t>9. Transporte y comunicaciones</t>
        </is>
      </c>
      <c r="H548" s="33" t="inlineStr">
        <is>
          <t>9.2 Terrapuertos</t>
        </is>
      </c>
      <c r="R548" s="18">
        <f>G548&amp;"|"&amp;B548</f>
        <v/>
      </c>
    </row>
    <row r="549">
      <c r="B549" s="33" t="inlineStr">
        <is>
          <t>Pasos subterráneos de pasajeros</t>
        </is>
      </c>
      <c r="C549" s="46" t="n">
        <v>50</v>
      </c>
      <c r="D549" s="46" t="n">
        <v>28</v>
      </c>
      <c r="E549" s="74" t="n">
        <v>0.5</v>
      </c>
      <c r="F549" s="46" t="n">
        <v>40</v>
      </c>
      <c r="G549" s="33" t="inlineStr">
        <is>
          <t>9. Transporte y comunicaciones</t>
        </is>
      </c>
      <c r="H549" s="33" t="inlineStr">
        <is>
          <t>9.2 Terrapuertos</t>
        </is>
      </c>
      <c r="R549" s="18">
        <f>G549&amp;"|"&amp;B549</f>
        <v/>
      </c>
    </row>
    <row r="550">
      <c r="B550" s="33" t="inlineStr">
        <is>
          <t>Sala de taquillas y vestíbulo</t>
        </is>
      </c>
      <c r="C550" s="46" t="n">
        <v>200</v>
      </c>
      <c r="D550" s="46" t="n">
        <v>28</v>
      </c>
      <c r="E550" s="74" t="n">
        <v>0.5</v>
      </c>
      <c r="F550" s="46" t="n">
        <v>40</v>
      </c>
      <c r="G550" s="33" t="inlineStr">
        <is>
          <t>9. Transporte y comunicaciones</t>
        </is>
      </c>
      <c r="H550" s="33" t="inlineStr">
        <is>
          <t>9.2 Terrapuertos</t>
        </is>
      </c>
      <c r="R550" s="18">
        <f>G550&amp;"|"&amp;B550</f>
        <v/>
      </c>
    </row>
    <row r="551">
      <c r="B551" s="33" t="inlineStr">
        <is>
          <t>Oficinas de billetes, de equipaje y de contadores</t>
        </is>
      </c>
      <c r="C551" s="46" t="n">
        <v>300</v>
      </c>
      <c r="D551" s="46" t="n">
        <v>19</v>
      </c>
      <c r="E551" s="74" t="n">
        <v>0.5</v>
      </c>
      <c r="F551" s="46" t="n">
        <v>80</v>
      </c>
      <c r="G551" s="33" t="inlineStr">
        <is>
          <t>9. Transporte y comunicaciones</t>
        </is>
      </c>
      <c r="H551" s="33" t="inlineStr">
        <is>
          <t>9.2 Terrapuertos</t>
        </is>
      </c>
      <c r="R551" s="18">
        <f>G551&amp;"|"&amp;B551</f>
        <v/>
      </c>
    </row>
    <row r="552">
      <c r="B552" s="33" t="inlineStr">
        <is>
          <t>Salas de espera</t>
        </is>
      </c>
      <c r="C552" s="46" t="n">
        <v>200</v>
      </c>
      <c r="D552" s="46" t="n">
        <v>22</v>
      </c>
      <c r="E552" s="74" t="n">
        <v>0.5</v>
      </c>
      <c r="F552" s="46" t="n">
        <v>80</v>
      </c>
      <c r="G552" s="33" t="inlineStr">
        <is>
          <t>9. Transporte y comunicaciones</t>
        </is>
      </c>
      <c r="H552" s="33" t="inlineStr">
        <is>
          <t>9.2 Terrapuertos</t>
        </is>
      </c>
      <c r="R552" s="18">
        <f>G552&amp;"|"&amp;B552</f>
        <v/>
      </c>
    </row>
    <row r="553">
      <c r="B553" s="33" t="inlineStr">
        <is>
          <t>Vestíbulos de entrada, vestíbulos de estación</t>
        </is>
      </c>
      <c r="C553" s="46" t="n">
        <v>200</v>
      </c>
      <c r="D553" s="46" t="inlineStr">
        <is>
          <t>—</t>
        </is>
      </c>
      <c r="E553" s="74" t="n">
        <v>0.4</v>
      </c>
      <c r="F553" s="46" t="n">
        <v>80</v>
      </c>
      <c r="G553" s="33" t="inlineStr">
        <is>
          <t>9. Transporte y comunicaciones</t>
        </is>
      </c>
      <c r="H553" s="33" t="inlineStr">
        <is>
          <t>9.2 Terrapuertos</t>
        </is>
      </c>
      <c r="R553" s="18">
        <f>G553&amp;"|"&amp;B553</f>
        <v/>
      </c>
    </row>
    <row r="554">
      <c r="B554" s="33" t="inlineStr">
        <is>
          <t>Salas de contadores y máquinas</t>
        </is>
      </c>
      <c r="C554" s="46" t="n">
        <v>200</v>
      </c>
      <c r="D554" s="46" t="n">
        <v>28</v>
      </c>
      <c r="E554" s="74" t="n">
        <v>0.4</v>
      </c>
      <c r="F554" s="46" t="n">
        <v>60</v>
      </c>
      <c r="G554" s="33" t="inlineStr">
        <is>
          <t>9. Transporte y comunicaciones</t>
        </is>
      </c>
      <c r="H554" s="33" t="inlineStr">
        <is>
          <t>9.2 Terrapuertos</t>
        </is>
      </c>
      <c r="R554" s="18">
        <f>G554&amp;"|"&amp;B554</f>
        <v/>
      </c>
    </row>
    <row r="555">
      <c r="B555" s="33" t="inlineStr">
        <is>
          <t>Túneles de acceso</t>
        </is>
      </c>
      <c r="C555" s="46" t="n">
        <v>50</v>
      </c>
      <c r="D555" s="46" t="inlineStr">
        <is>
          <t>—</t>
        </is>
      </c>
      <c r="E555" s="74" t="n">
        <v>0.4</v>
      </c>
      <c r="F555" s="46" t="n">
        <v>20</v>
      </c>
      <c r="G555" s="33" t="inlineStr">
        <is>
          <t>9. Transporte y comunicaciones</t>
        </is>
      </c>
      <c r="H555" s="33" t="inlineStr">
        <is>
          <t>9.2 Terrapuertos</t>
        </is>
      </c>
      <c r="R555" s="18">
        <f>G555&amp;"|"&amp;B555</f>
        <v/>
      </c>
    </row>
    <row r="556">
      <c r="B556" s="33" t="inlineStr">
        <is>
          <t>Naves de mantenimiento y servicio</t>
        </is>
      </c>
      <c r="C556" s="46" t="n">
        <v>300</v>
      </c>
      <c r="D556" s="46" t="n">
        <v>22</v>
      </c>
      <c r="E556" s="74" t="n">
        <v>0.4</v>
      </c>
      <c r="F556" s="46" t="n">
        <v>60</v>
      </c>
      <c r="G556" s="33" t="inlineStr">
        <is>
          <t>9. Transporte y comunicaciones</t>
        </is>
      </c>
      <c r="H556" s="33" t="inlineStr">
        <is>
          <t>9.2 Terrapuertos</t>
        </is>
      </c>
      <c r="R556" s="18">
        <f>G556&amp;"|"&amp;B556</f>
        <v/>
      </c>
    </row>
    <row r="557">
      <c r="B557" s="33" t="inlineStr">
        <is>
          <t>Rampas entrada / salida (durante el día)</t>
        </is>
      </c>
      <c r="C557" s="46" t="n">
        <v>300</v>
      </c>
      <c r="D557" s="46" t="n">
        <v>25</v>
      </c>
      <c r="E557" s="74" t="n">
        <v>0.4</v>
      </c>
      <c r="F557" s="46" t="n">
        <v>40</v>
      </c>
      <c r="G557" s="33" t="inlineStr">
        <is>
          <t>10. Estacionamientos</t>
        </is>
      </c>
      <c r="H557" s="33" t="inlineStr"/>
      <c r="R557" s="18">
        <f>G557&amp;"|"&amp;B557</f>
        <v/>
      </c>
    </row>
    <row r="558">
      <c r="B558" s="33" t="inlineStr">
        <is>
          <t>Rampas entrada / salida (durante la noche)</t>
        </is>
      </c>
      <c r="C558" s="46" t="n">
        <v>75</v>
      </c>
      <c r="D558" s="46" t="n">
        <v>25</v>
      </c>
      <c r="E558" s="74" t="n">
        <v>0.4</v>
      </c>
      <c r="F558" s="46" t="n">
        <v>40</v>
      </c>
      <c r="G558" s="33" t="inlineStr">
        <is>
          <t>10. Estacionamientos</t>
        </is>
      </c>
      <c r="H558" s="33" t="inlineStr"/>
      <c r="R558" s="18">
        <f>G558&amp;"|"&amp;B558</f>
        <v/>
      </c>
    </row>
    <row r="559">
      <c r="B559" s="33" t="inlineStr">
        <is>
          <t>Calles interiores</t>
        </is>
      </c>
      <c r="C559" s="46" t="n">
        <v>75</v>
      </c>
      <c r="D559" s="46" t="n">
        <v>25</v>
      </c>
      <c r="E559" s="74" t="n">
        <v>0.4</v>
      </c>
      <c r="F559" s="46" t="n">
        <v>40</v>
      </c>
      <c r="G559" s="33" t="inlineStr">
        <is>
          <t>10. Estacionamientos</t>
        </is>
      </c>
      <c r="H559" s="33" t="inlineStr"/>
      <c r="R559" s="18">
        <f>G559&amp;"|"&amp;B559</f>
        <v/>
      </c>
    </row>
    <row r="560">
      <c r="B560" s="33" t="inlineStr">
        <is>
          <t>Áreas de parqueo</t>
        </is>
      </c>
      <c r="C560" s="46" t="n">
        <v>75</v>
      </c>
      <c r="D560" s="46" t="inlineStr">
        <is>
          <t>—</t>
        </is>
      </c>
      <c r="E560" s="74" t="n">
        <v>0.4</v>
      </c>
      <c r="F560" s="46" t="n">
        <v>40</v>
      </c>
      <c r="G560" s="33" t="inlineStr">
        <is>
          <t>10. Estacionamientos</t>
        </is>
      </c>
      <c r="H560" s="33" t="inlineStr"/>
      <c r="R560" s="18">
        <f>G560&amp;"|"&amp;B560</f>
        <v/>
      </c>
    </row>
    <row r="561">
      <c r="B561" s="33" t="inlineStr">
        <is>
          <t>Caja</t>
        </is>
      </c>
      <c r="C561" s="46" t="n">
        <v>300</v>
      </c>
      <c r="D561" s="46" t="n">
        <v>19</v>
      </c>
      <c r="E561" s="74" t="n">
        <v>0.6</v>
      </c>
      <c r="F561" s="46" t="n">
        <v>80</v>
      </c>
      <c r="G561" s="33" t="inlineStr">
        <is>
          <t>10. Estacionamientos</t>
        </is>
      </c>
      <c r="H561" s="33" t="inlineStr"/>
      <c r="R561" s="18">
        <f>G561&amp;"|"&amp;B561</f>
        <v/>
      </c>
    </row>
    <row r="564">
      <c r="B564" s="4" t="inlineStr">
        <is>
          <t>SECCIONES DE LA EM.010 (listas desplegables dependientes)</t>
        </is>
      </c>
    </row>
    <row r="565" ht="26" customHeight="1">
      <c r="B565" s="32" t="inlineStr">
        <is>
          <t>Sección</t>
        </is>
      </c>
      <c r="C565" s="32" t="inlineStr">
        <is>
          <t>Lista</t>
        </is>
      </c>
      <c r="D565" s="32" t="inlineStr">
        <is>
          <t>Filas</t>
        </is>
      </c>
    </row>
    <row r="566">
      <c r="B566" s="33" t="inlineStr">
        <is>
          <t>1. Vivienda</t>
        </is>
      </c>
      <c r="C566" s="46" t="inlineStr">
        <is>
          <t>EM_S1</t>
        </is>
      </c>
      <c r="D566" s="46" t="n">
        <v>15</v>
      </c>
    </row>
    <row r="567">
      <c r="B567" s="33" t="inlineStr">
        <is>
          <t>2. Educación</t>
        </is>
      </c>
      <c r="C567" s="46" t="inlineStr">
        <is>
          <t>EM_S2</t>
        </is>
      </c>
      <c r="D567" s="46" t="n">
        <v>28</v>
      </c>
    </row>
    <row r="568">
      <c r="B568" s="33" t="inlineStr">
        <is>
          <t>3. Salud</t>
        </is>
      </c>
      <c r="C568" s="46" t="inlineStr">
        <is>
          <t>EM_S3</t>
        </is>
      </c>
      <c r="D568" s="46" t="n">
        <v>45</v>
      </c>
    </row>
    <row r="569">
      <c r="B569" s="33" t="inlineStr">
        <is>
          <t>4. Industria</t>
        </is>
      </c>
      <c r="C569" s="46" t="inlineStr">
        <is>
          <t>EM_S4</t>
        </is>
      </c>
      <c r="D569" s="46" t="n">
        <v>135</v>
      </c>
    </row>
    <row r="570">
      <c r="B570" s="33" t="inlineStr">
        <is>
          <t>5. Comercio</t>
        </is>
      </c>
      <c r="C570" s="46" t="inlineStr">
        <is>
          <t>EM_S5</t>
        </is>
      </c>
      <c r="D570" s="46" t="n">
        <v>28</v>
      </c>
    </row>
    <row r="571">
      <c r="B571" s="33" t="inlineStr">
        <is>
          <t>6. Oficinas</t>
        </is>
      </c>
      <c r="C571" s="46" t="inlineStr">
        <is>
          <t>EM_S6</t>
        </is>
      </c>
      <c r="D571" s="46" t="n">
        <v>5</v>
      </c>
    </row>
    <row r="572">
      <c r="B572" s="33" t="inlineStr">
        <is>
          <t>7. Servicios comunales</t>
        </is>
      </c>
      <c r="C572" s="46" t="inlineStr">
        <is>
          <t>EM_S7</t>
        </is>
      </c>
      <c r="D572" s="46" t="n">
        <v>5</v>
      </c>
    </row>
    <row r="573">
      <c r="B573" s="33" t="inlineStr">
        <is>
          <t>8. Recreación y deportes</t>
        </is>
      </c>
      <c r="C573" s="46" t="inlineStr">
        <is>
          <t>EM_S8</t>
        </is>
      </c>
      <c r="D573" s="46" t="n">
        <v>2</v>
      </c>
    </row>
    <row r="574">
      <c r="B574" s="33" t="inlineStr">
        <is>
          <t>9. Transporte y comunicaciones</t>
        </is>
      </c>
      <c r="C574" s="46" t="inlineStr">
        <is>
          <t>EM_S9</t>
        </is>
      </c>
      <c r="D574" s="46" t="n">
        <v>20</v>
      </c>
    </row>
    <row r="575">
      <c r="B575" s="33" t="inlineStr">
        <is>
          <t>10. Estacionamientos</t>
        </is>
      </c>
      <c r="C575" s="46" t="inlineStr">
        <is>
          <t>EM_S10</t>
        </is>
      </c>
      <c r="D575" s="46" t="n">
        <v>5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15">
    <mergeCell ref="D160:P160"/>
    <mergeCell ref="D159:P159"/>
    <mergeCell ref="E147:P147"/>
    <mergeCell ref="D162:P162"/>
    <mergeCell ref="E151:P151"/>
    <mergeCell ref="E152:P152"/>
    <mergeCell ref="D158:P158"/>
    <mergeCell ref="E146:P146"/>
    <mergeCell ref="D161:P161"/>
    <mergeCell ref="D157:P157"/>
    <mergeCell ref="E150:P150"/>
    <mergeCell ref="E145:P145"/>
    <mergeCell ref="E149:P149"/>
    <mergeCell ref="E153:P153"/>
    <mergeCell ref="E148:P148"/>
  </mergeCells>
  <printOptions horizontalCentered="1"/>
  <pageMargins left="0.5" right="0.5" top="0.6" bottom="0.6" header="0.3" footer="0.3"/>
  <pageSetup orientation="landscape" paperSize="9" fitToHeight="0" fitToWidth="1"/>
  <headerFooter>
    <oddHeader>&amp;L&amp;"Times New Roman,Regular"&amp;7 ALF_BIM · Calculadoras IIEE ALF · Tablas&amp;R&amp;"Times New Roman,Regular"&amp;7 Página &amp;P de &amp;N</oddHeader>
    <oddFooter>&amp;L&amp;"Times New Roman,Regular"&amp;7 www.alfbim.com · Herramienta gratuita de apoyo. Los resultados deben ser revisados por un ingeniero electricista o mecánico electricista colegiado.&amp;R&amp;"Times New Roman,Regular"&amp;7 &amp;A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ALF_BIM · www.alfbim.com</dc:creator>
  <dc:title xmlns:dc="http://purl.org/dc/elements/1.1/">Calculadoras IIEE ALF</dc:title>
  <dc:subject xmlns:dc="http://purl.org/dc/elements/1.1/">Pozo a tierra, iluminación EM.010 y caída de tensión CNE-U</dc:subject>
  <dcterms:created xmlns:dcterms="http://purl.org/dc/terms/" xmlns:xsi="http://www.w3.org/2001/XMLSchema-instance" xsi:type="dcterms:W3CDTF">2026-10-22T04:28:08Z</dcterms:created>
  <dcterms:modified xmlns:dcterms="http://purl.org/dc/terms/" xmlns:xsi="http://www.w3.org/2001/XMLSchema-instance" xsi:type="dcterms:W3CDTF">2026-10-22T04:28:08Z</dcterms:modified>
</cp:coreProperties>
</file>